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0ae1bfafe608037/Desktop/abhinaya chandragiri/"/>
    </mc:Choice>
  </mc:AlternateContent>
  <xr:revisionPtr revIDLastSave="0" documentId="8_{A02EC865-9223-4299-90AA-A74832EDF9A4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Sales_Data" sheetId="1" r:id="rId1"/>
    <sheet name="Summary_Data" sheetId="2" r:id="rId2"/>
    <sheet name="Dashboard" sheetId="3" r:id="rId3"/>
  </sheets>
  <definedNames>
    <definedName name="_xlnm._FilterDatabase" localSheetId="0" hidden="1">Sales_Data!$A$1:$J$121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3" l="1"/>
  <c r="I6" i="3"/>
  <c r="E6" i="3"/>
  <c r="A6" i="3"/>
</calcChain>
</file>

<file path=xl/sharedStrings.xml><?xml version="1.0" encoding="utf-8"?>
<sst xmlns="http://schemas.openxmlformats.org/spreadsheetml/2006/main" count="1251" uniqueCount="506">
  <si>
    <t>OrderID</t>
  </si>
  <si>
    <t>Date</t>
  </si>
  <si>
    <t>Region</t>
  </si>
  <si>
    <t>Category</t>
  </si>
  <si>
    <t>Product</t>
  </si>
  <si>
    <t>UnitPrice</t>
  </si>
  <si>
    <t>Quantity</t>
  </si>
  <si>
    <t>Discount</t>
  </si>
  <si>
    <t>Sales</t>
  </si>
  <si>
    <t>Profit</t>
  </si>
  <si>
    <t>1001</t>
  </si>
  <si>
    <t>2024-01-03</t>
  </si>
  <si>
    <t>East</t>
  </si>
  <si>
    <t>Electronics</t>
  </si>
  <si>
    <t>Laptop</t>
  </si>
  <si>
    <t>65000</t>
  </si>
  <si>
    <t>2</t>
  </si>
  <si>
    <t>0.05</t>
  </si>
  <si>
    <t>123500</t>
  </si>
  <si>
    <t>18525</t>
  </si>
  <si>
    <t>1002</t>
  </si>
  <si>
    <t>2024-01-05</t>
  </si>
  <si>
    <t>West</t>
  </si>
  <si>
    <t>Clothing</t>
  </si>
  <si>
    <t>Jeans</t>
  </si>
  <si>
    <t>1500</t>
  </si>
  <si>
    <t>10</t>
  </si>
  <si>
    <t>0.10</t>
  </si>
  <si>
    <t>13500</t>
  </si>
  <si>
    <t>2700</t>
  </si>
  <si>
    <t>1003</t>
  </si>
  <si>
    <t>2024-01-07</t>
  </si>
  <si>
    <t>North</t>
  </si>
  <si>
    <t>Furniture</t>
  </si>
  <si>
    <t>Chair</t>
  </si>
  <si>
    <t>8000</t>
  </si>
  <si>
    <t>5</t>
  </si>
  <si>
    <t>0.00</t>
  </si>
  <si>
    <t>40000</t>
  </si>
  <si>
    <t>6000</t>
  </si>
  <si>
    <t>1004</t>
  </si>
  <si>
    <t>2024-01-10</t>
  </si>
  <si>
    <t>South</t>
  </si>
  <si>
    <t>Tablet</t>
  </si>
  <si>
    <t>25000</t>
  </si>
  <si>
    <t>3</t>
  </si>
  <si>
    <t>71250</t>
  </si>
  <si>
    <t>10687</t>
  </si>
  <si>
    <t>1005</t>
  </si>
  <si>
    <t>2024-01-12</t>
  </si>
  <si>
    <t>T-Shirt</t>
  </si>
  <si>
    <t>800</t>
  </si>
  <si>
    <t>20</t>
  </si>
  <si>
    <t>16000</t>
  </si>
  <si>
    <t>3200</t>
  </si>
  <si>
    <t>1006</t>
  </si>
  <si>
    <t>2024-01-15</t>
  </si>
  <si>
    <t>Sofa</t>
  </si>
  <si>
    <t>22000</t>
  </si>
  <si>
    <t>39600</t>
  </si>
  <si>
    <t>5940</t>
  </si>
  <si>
    <t>1007</t>
  </si>
  <si>
    <t>2024-01-18</t>
  </si>
  <si>
    <t>Monitor</t>
  </si>
  <si>
    <t>15000</t>
  </si>
  <si>
    <t>4</t>
  </si>
  <si>
    <t>57000</t>
  </si>
  <si>
    <t>8550</t>
  </si>
  <si>
    <t>1008</t>
  </si>
  <si>
    <t>2024-01-20</t>
  </si>
  <si>
    <t>Kurta</t>
  </si>
  <si>
    <t>1200</t>
  </si>
  <si>
    <t>15</t>
  </si>
  <si>
    <t>18000</t>
  </si>
  <si>
    <t>3600</t>
  </si>
  <si>
    <t>1009</t>
  </si>
  <si>
    <t>2024-01-22</t>
  </si>
  <si>
    <t>Table</t>
  </si>
  <si>
    <t>12000</t>
  </si>
  <si>
    <t>34200</t>
  </si>
  <si>
    <t>5130</t>
  </si>
  <si>
    <t>1010</t>
  </si>
  <si>
    <t>2024-01-25</t>
  </si>
  <si>
    <t>Headphones</t>
  </si>
  <si>
    <t>3500</t>
  </si>
  <si>
    <t>8</t>
  </si>
  <si>
    <t>28000</t>
  </si>
  <si>
    <t>5600</t>
  </si>
  <si>
    <t>1011</t>
  </si>
  <si>
    <t>2024-02-02</t>
  </si>
  <si>
    <t>12</t>
  </si>
  <si>
    <t>17100</t>
  </si>
  <si>
    <t>3420</t>
  </si>
  <si>
    <t>1012</t>
  </si>
  <si>
    <t>2024-02-04</t>
  </si>
  <si>
    <t>1</t>
  </si>
  <si>
    <t>9750</t>
  </si>
  <si>
    <t>1013</t>
  </si>
  <si>
    <t>2024-02-06</t>
  </si>
  <si>
    <t>Wardrobe</t>
  </si>
  <si>
    <t>32400</t>
  </si>
  <si>
    <t>4860</t>
  </si>
  <si>
    <t>1014</t>
  </si>
  <si>
    <t>2024-02-09</t>
  </si>
  <si>
    <t>95000</t>
  </si>
  <si>
    <t>14250</t>
  </si>
  <si>
    <t>1015</t>
  </si>
  <si>
    <t>2024-02-11</t>
  </si>
  <si>
    <t>Saree</t>
  </si>
  <si>
    <t>2500</t>
  </si>
  <si>
    <t>20000</t>
  </si>
  <si>
    <t>4000</t>
  </si>
  <si>
    <t>1016</t>
  </si>
  <si>
    <t>2024-02-13</t>
  </si>
  <si>
    <t>6</t>
  </si>
  <si>
    <t>45600</t>
  </si>
  <si>
    <t>6840</t>
  </si>
  <si>
    <t>1017</t>
  </si>
  <si>
    <t>2024-02-16</t>
  </si>
  <si>
    <t>45000</t>
  </si>
  <si>
    <t>6750</t>
  </si>
  <si>
    <t>1018</t>
  </si>
  <si>
    <t>2024-02-18</t>
  </si>
  <si>
    <t>25</t>
  </si>
  <si>
    <t>1019</t>
  </si>
  <si>
    <t>2024-02-20</t>
  </si>
  <si>
    <t>62700</t>
  </si>
  <si>
    <t>9405</t>
  </si>
  <si>
    <t>1020</t>
  </si>
  <si>
    <t>2024-02-24</t>
  </si>
  <si>
    <t>35000</t>
  </si>
  <si>
    <t>7000</t>
  </si>
  <si>
    <t>1021</t>
  </si>
  <si>
    <t>2024-03-01</t>
  </si>
  <si>
    <t>14</t>
  </si>
  <si>
    <t>19950</t>
  </si>
  <si>
    <t>3990</t>
  </si>
  <si>
    <t>1022</t>
  </si>
  <si>
    <t>2024-03-03</t>
  </si>
  <si>
    <t>48000</t>
  </si>
  <si>
    <t>7200</t>
  </si>
  <si>
    <t>1023</t>
  </si>
  <si>
    <t>2024-03-05</t>
  </si>
  <si>
    <t>117000</t>
  </si>
  <si>
    <t>17550</t>
  </si>
  <si>
    <t>1024</t>
  </si>
  <si>
    <t>2024-03-08</t>
  </si>
  <si>
    <t>18</t>
  </si>
  <si>
    <t>21600</t>
  </si>
  <si>
    <t>4320</t>
  </si>
  <si>
    <t>1025</t>
  </si>
  <si>
    <t>2024-03-10</t>
  </si>
  <si>
    <t>118750</t>
  </si>
  <si>
    <t>17812</t>
  </si>
  <si>
    <t>1026</t>
  </si>
  <si>
    <t>2024-03-13</t>
  </si>
  <si>
    <t>48600</t>
  </si>
  <si>
    <t>7290</t>
  </si>
  <si>
    <t>1027</t>
  </si>
  <si>
    <t>2024-03-15</t>
  </si>
  <si>
    <t>5000</t>
  </si>
  <si>
    <t>1028</t>
  </si>
  <si>
    <t>2024-03-18</t>
  </si>
  <si>
    <t>1029</t>
  </si>
  <si>
    <t>2024-03-20</t>
  </si>
  <si>
    <t>7</t>
  </si>
  <si>
    <t>56000</t>
  </si>
  <si>
    <t>8400</t>
  </si>
  <si>
    <t>1030</t>
  </si>
  <si>
    <t>2024-03-25</t>
  </si>
  <si>
    <t>30</t>
  </si>
  <si>
    <t>1031</t>
  </si>
  <si>
    <t>2024-04-02</t>
  </si>
  <si>
    <t>42000</t>
  </si>
  <si>
    <t>1032</t>
  </si>
  <si>
    <t>2024-04-04</t>
  </si>
  <si>
    <t>41800</t>
  </si>
  <si>
    <t>6270</t>
  </si>
  <si>
    <t>1033</t>
  </si>
  <si>
    <t>2024-04-06</t>
  </si>
  <si>
    <t>16</t>
  </si>
  <si>
    <t>22800</t>
  </si>
  <si>
    <t>4560</t>
  </si>
  <si>
    <t>1034</t>
  </si>
  <si>
    <t>2024-04-09</t>
  </si>
  <si>
    <t>175500</t>
  </si>
  <si>
    <t>26325</t>
  </si>
  <si>
    <t>1035</t>
  </si>
  <si>
    <t>2024-04-11</t>
  </si>
  <si>
    <t>60000</t>
  </si>
  <si>
    <t>9000</t>
  </si>
  <si>
    <t>1036</t>
  </si>
  <si>
    <t>2024-04-14</t>
  </si>
  <si>
    <t>24000</t>
  </si>
  <si>
    <t>4800</t>
  </si>
  <si>
    <t>1037</t>
  </si>
  <si>
    <t>2024-04-16</t>
  </si>
  <si>
    <t>1038</t>
  </si>
  <si>
    <t>2024-04-19</t>
  </si>
  <si>
    <t>36000</t>
  </si>
  <si>
    <t>5400</t>
  </si>
  <si>
    <t>1039</t>
  </si>
  <si>
    <t>2024-04-22</t>
  </si>
  <si>
    <t>27000</t>
  </si>
  <si>
    <t>1040</t>
  </si>
  <si>
    <t>2024-04-25</t>
  </si>
  <si>
    <t>85500</t>
  </si>
  <si>
    <t>12825</t>
  </si>
  <si>
    <t>1041</t>
  </si>
  <si>
    <t>2024-05-02</t>
  </si>
  <si>
    <t>64000</t>
  </si>
  <si>
    <t>9600</t>
  </si>
  <si>
    <t>1042</t>
  </si>
  <si>
    <t>2024-05-05</t>
  </si>
  <si>
    <t>35</t>
  </si>
  <si>
    <t>25200</t>
  </si>
  <si>
    <t>5040</t>
  </si>
  <si>
    <t>1043</t>
  </si>
  <si>
    <t>2024-05-07</t>
  </si>
  <si>
    <t>52500</t>
  </si>
  <si>
    <t>10500</t>
  </si>
  <si>
    <t>1044</t>
  </si>
  <si>
    <t>2024-05-10</t>
  </si>
  <si>
    <t>1045</t>
  </si>
  <si>
    <t>2024-05-12</t>
  </si>
  <si>
    <t>25650</t>
  </si>
  <si>
    <t>1046</t>
  </si>
  <si>
    <t>2024-05-15</t>
  </si>
  <si>
    <t>130000</t>
  </si>
  <si>
    <t>19500</t>
  </si>
  <si>
    <t>1047</t>
  </si>
  <si>
    <t>2024-05-18</t>
  </si>
  <si>
    <t>64800</t>
  </si>
  <si>
    <t>9720</t>
  </si>
  <si>
    <t>1048</t>
  </si>
  <si>
    <t>2024-05-20</t>
  </si>
  <si>
    <t>22</t>
  </si>
  <si>
    <t>26400</t>
  </si>
  <si>
    <t>5280</t>
  </si>
  <si>
    <t>1049</t>
  </si>
  <si>
    <t>2024-05-22</t>
  </si>
  <si>
    <t>142500</t>
  </si>
  <si>
    <t>21375</t>
  </si>
  <si>
    <t>1050</t>
  </si>
  <si>
    <t>2024-05-26</t>
  </si>
  <si>
    <t>1051</t>
  </si>
  <si>
    <t>2024-06-02</t>
  </si>
  <si>
    <t>1052</t>
  </si>
  <si>
    <t>2024-06-04</t>
  </si>
  <si>
    <t>99750</t>
  </si>
  <si>
    <t>14962</t>
  </si>
  <si>
    <t>1053</t>
  </si>
  <si>
    <t>2024-06-07</t>
  </si>
  <si>
    <t>9</t>
  </si>
  <si>
    <t>72000</t>
  </si>
  <si>
    <t>10800</t>
  </si>
  <si>
    <t>1054</t>
  </si>
  <si>
    <t>2024-06-10</t>
  </si>
  <si>
    <t>40</t>
  </si>
  <si>
    <t>28800</t>
  </si>
  <si>
    <t>5760</t>
  </si>
  <si>
    <t>1055</t>
  </si>
  <si>
    <t>2024-06-12</t>
  </si>
  <si>
    <t>63000</t>
  </si>
  <si>
    <t>12600</t>
  </si>
  <si>
    <t>1056</t>
  </si>
  <si>
    <t>2024-06-15</t>
  </si>
  <si>
    <t>83600</t>
  </si>
  <si>
    <t>12540</t>
  </si>
  <si>
    <t>1057</t>
  </si>
  <si>
    <t>2024-06-18</t>
  </si>
  <si>
    <t>28500</t>
  </si>
  <si>
    <t>5700</t>
  </si>
  <si>
    <t>1058</t>
  </si>
  <si>
    <t>2024-06-20</t>
  </si>
  <si>
    <t>1059</t>
  </si>
  <si>
    <t>2024-06-25</t>
  </si>
  <si>
    <t>84000</t>
  </si>
  <si>
    <t>1060</t>
  </si>
  <si>
    <t>2024-06-28</t>
  </si>
  <si>
    <t>30000</t>
  </si>
  <si>
    <t>1061</t>
  </si>
  <si>
    <t>2024-07-02</t>
  </si>
  <si>
    <t>1062</t>
  </si>
  <si>
    <t>2024-07-05</t>
  </si>
  <si>
    <t>54000</t>
  </si>
  <si>
    <t>8100</t>
  </si>
  <si>
    <t>1063</t>
  </si>
  <si>
    <t>2024-07-08</t>
  </si>
  <si>
    <t>1064</t>
  </si>
  <si>
    <t>2024-07-10</t>
  </si>
  <si>
    <t>114000</t>
  </si>
  <si>
    <t>1065</t>
  </si>
  <si>
    <t>2024-07-13</t>
  </si>
  <si>
    <t>80000</t>
  </si>
  <si>
    <t>1066</t>
  </si>
  <si>
    <t>2024-07-16</t>
  </si>
  <si>
    <t>45</t>
  </si>
  <si>
    <t>6480</t>
  </si>
  <si>
    <t>1067</t>
  </si>
  <si>
    <t>2024-07-19</t>
  </si>
  <si>
    <t>70000</t>
  </si>
  <si>
    <t>14000</t>
  </si>
  <si>
    <t>1068</t>
  </si>
  <si>
    <t>2024-07-22</t>
  </si>
  <si>
    <t>104500</t>
  </si>
  <si>
    <t>15675</t>
  </si>
  <si>
    <t>1069</t>
  </si>
  <si>
    <t>2024-07-25</t>
  </si>
  <si>
    <t>31350</t>
  </si>
  <si>
    <t>1070</t>
  </si>
  <si>
    <t>2024-07-28</t>
  </si>
  <si>
    <t>234000</t>
  </si>
  <si>
    <t>35100</t>
  </si>
  <si>
    <t>1071</t>
  </si>
  <si>
    <t>2024-08-02</t>
  </si>
  <si>
    <t>96000</t>
  </si>
  <si>
    <t>14400</t>
  </si>
  <si>
    <t>1072</t>
  </si>
  <si>
    <t>2024-08-05</t>
  </si>
  <si>
    <t>28</t>
  </si>
  <si>
    <t>33600</t>
  </si>
  <si>
    <t>6720</t>
  </si>
  <si>
    <t>1073</t>
  </si>
  <si>
    <t>2024-08-08</t>
  </si>
  <si>
    <t>165625</t>
  </si>
  <si>
    <t>24843</t>
  </si>
  <si>
    <t>1074</t>
  </si>
  <si>
    <t>2024-08-11</t>
  </si>
  <si>
    <t>81000</t>
  </si>
  <si>
    <t>12150</t>
  </si>
  <si>
    <t>1075</t>
  </si>
  <si>
    <t>2024-08-14</t>
  </si>
  <si>
    <t>1076</t>
  </si>
  <si>
    <t>2024-08-17</t>
  </si>
  <si>
    <t>128250</t>
  </si>
  <si>
    <t>19237</t>
  </si>
  <si>
    <t>1077</t>
  </si>
  <si>
    <t>2024-08-20</t>
  </si>
  <si>
    <t>11</t>
  </si>
  <si>
    <t>88000</t>
  </si>
  <si>
    <t>13200</t>
  </si>
  <si>
    <t>1078</t>
  </si>
  <si>
    <t>2024-08-23</t>
  </si>
  <si>
    <t>50</t>
  </si>
  <si>
    <t>1079</t>
  </si>
  <si>
    <t>2024-08-26</t>
  </si>
  <si>
    <t>77000</t>
  </si>
  <si>
    <t>15400</t>
  </si>
  <si>
    <t>1080</t>
  </si>
  <si>
    <t>2024-08-29</t>
  </si>
  <si>
    <t>125400</t>
  </si>
  <si>
    <t>18810</t>
  </si>
  <si>
    <t>1081</t>
  </si>
  <si>
    <t>2024-09-03</t>
  </si>
  <si>
    <t>24</t>
  </si>
  <si>
    <t>1082</t>
  </si>
  <si>
    <t>2024-09-06</t>
  </si>
  <si>
    <t>195000</t>
  </si>
  <si>
    <t>29250</t>
  </si>
  <si>
    <t>1083</t>
  </si>
  <si>
    <t>2024-09-09</t>
  </si>
  <si>
    <t>97200</t>
  </si>
  <si>
    <t>14580</t>
  </si>
  <si>
    <t>1084</t>
  </si>
  <si>
    <t>2024-09-12</t>
  </si>
  <si>
    <t>1085</t>
  </si>
  <si>
    <t>2024-09-15</t>
  </si>
  <si>
    <t>1086</t>
  </si>
  <si>
    <t>2024-09-18</t>
  </si>
  <si>
    <t>1087</t>
  </si>
  <si>
    <t>2024-09-21</t>
  </si>
  <si>
    <t>1088</t>
  </si>
  <si>
    <t>2024-09-24</t>
  </si>
  <si>
    <t>1089</t>
  </si>
  <si>
    <t>2024-09-27</t>
  </si>
  <si>
    <t>1090</t>
  </si>
  <si>
    <t>2024-09-30</t>
  </si>
  <si>
    <t>55</t>
  </si>
  <si>
    <t>7920</t>
  </si>
  <si>
    <t>1091</t>
  </si>
  <si>
    <t>2024-10-03</t>
  </si>
  <si>
    <t>87500</t>
  </si>
  <si>
    <t>17500</t>
  </si>
  <si>
    <t>1092</t>
  </si>
  <si>
    <t>2024-10-06</t>
  </si>
  <si>
    <t>1093</t>
  </si>
  <si>
    <t>2024-10-09</t>
  </si>
  <si>
    <t>26</t>
  </si>
  <si>
    <t>36985</t>
  </si>
  <si>
    <t>7397</t>
  </si>
  <si>
    <t>1094</t>
  </si>
  <si>
    <t>2024-10-12</t>
  </si>
  <si>
    <t>1095</t>
  </si>
  <si>
    <t>2024-10-15</t>
  </si>
  <si>
    <t>120000</t>
  </si>
  <si>
    <t>1096</t>
  </si>
  <si>
    <t>2024-10-18</t>
  </si>
  <si>
    <t>32</t>
  </si>
  <si>
    <t>38400</t>
  </si>
  <si>
    <t>7680</t>
  </si>
  <si>
    <t>1097</t>
  </si>
  <si>
    <t>2024-10-21</t>
  </si>
  <si>
    <t>190000</t>
  </si>
  <si>
    <t>1098</t>
  </si>
  <si>
    <t>2024-10-24</t>
  </si>
  <si>
    <t>1099</t>
  </si>
  <si>
    <t>2024-10-27</t>
  </si>
  <si>
    <t>55000</t>
  </si>
  <si>
    <t>11000</t>
  </si>
  <si>
    <t>1100</t>
  </si>
  <si>
    <t>2024-10-30</t>
  </si>
  <si>
    <t>156750</t>
  </si>
  <si>
    <t>23512</t>
  </si>
  <si>
    <t>1101</t>
  </si>
  <si>
    <t>2024-11-02</t>
  </si>
  <si>
    <t>13</t>
  </si>
  <si>
    <t>104000</t>
  </si>
  <si>
    <t>15600</t>
  </si>
  <si>
    <t>1102</t>
  </si>
  <si>
    <t>2024-11-05</t>
  </si>
  <si>
    <t>60</t>
  </si>
  <si>
    <t>43200</t>
  </si>
  <si>
    <t>8640</t>
  </si>
  <si>
    <t>1103</t>
  </si>
  <si>
    <t>2024-11-08</t>
  </si>
  <si>
    <t>98000</t>
  </si>
  <si>
    <t>19600</t>
  </si>
  <si>
    <t>1104</t>
  </si>
  <si>
    <t>2024-11-11</t>
  </si>
  <si>
    <t>1105</t>
  </si>
  <si>
    <t>2024-11-14</t>
  </si>
  <si>
    <t>39900</t>
  </si>
  <si>
    <t>7980</t>
  </si>
  <si>
    <t>1106</t>
  </si>
  <si>
    <t>2024-11-17</t>
  </si>
  <si>
    <t>292500</t>
  </si>
  <si>
    <t>43875</t>
  </si>
  <si>
    <t>1107</t>
  </si>
  <si>
    <t>2024-11-20</t>
  </si>
  <si>
    <t>132000</t>
  </si>
  <si>
    <t>19800</t>
  </si>
  <si>
    <t>1108</t>
  </si>
  <si>
    <t>2024-11-23</t>
  </si>
  <si>
    <t>1109</t>
  </si>
  <si>
    <t>2024-11-26</t>
  </si>
  <si>
    <t>213750</t>
  </si>
  <si>
    <t>32062</t>
  </si>
  <si>
    <t>1110</t>
  </si>
  <si>
    <t>2024-11-29</t>
  </si>
  <si>
    <t>1111</t>
  </si>
  <si>
    <t>2024-12-02</t>
  </si>
  <si>
    <t>1112</t>
  </si>
  <si>
    <t>2024-12-05</t>
  </si>
  <si>
    <t>171000</t>
  </si>
  <si>
    <t>1113</t>
  </si>
  <si>
    <t>2024-12-08</t>
  </si>
  <si>
    <t>112000</t>
  </si>
  <si>
    <t>16800</t>
  </si>
  <si>
    <t>1114</t>
  </si>
  <si>
    <t>2024-12-11</t>
  </si>
  <si>
    <t>65</t>
  </si>
  <si>
    <t>46800</t>
  </si>
  <si>
    <t>9360</t>
  </si>
  <si>
    <t>1115</t>
  </si>
  <si>
    <t>2024-12-14</t>
  </si>
  <si>
    <t>105000</t>
  </si>
  <si>
    <t>21000</t>
  </si>
  <si>
    <t>1116</t>
  </si>
  <si>
    <t>2024-12-17</t>
  </si>
  <si>
    <t>146300</t>
  </si>
  <si>
    <t>21945</t>
  </si>
  <si>
    <t>1117</t>
  </si>
  <si>
    <t>2024-12-20</t>
  </si>
  <si>
    <t>42750</t>
  </si>
  <si>
    <t>1118</t>
  </si>
  <si>
    <t>2024-12-23</t>
  </si>
  <si>
    <t>351000</t>
  </si>
  <si>
    <t>52650</t>
  </si>
  <si>
    <t>1119</t>
  </si>
  <si>
    <t>2024-12-26</t>
  </si>
  <si>
    <t>144000</t>
  </si>
  <si>
    <t>1120</t>
  </si>
  <si>
    <t>2024-12-29</t>
  </si>
  <si>
    <t>38</t>
  </si>
  <si>
    <t>9120</t>
  </si>
  <si>
    <t>SUMMARY DATA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</si>
  <si>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</si>
  <si>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</si>
  <si>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</si>
  <si>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</si>
  <si>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</si>
  <si>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</si>
  <si>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</si>
  <si>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</si>
  <si>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</si>
  <si>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</si>
  <si>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</si>
  <si>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</si>
  <si>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</si>
  <si>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ANALYTICS DASHBOARD  |  FY 2024</t>
  </si>
  <si>
    <t>Region  |  Category  |  Monthly Trends  |  Top Products</t>
  </si>
  <si>
    <t>TOTAL REVENUE</t>
  </si>
  <si>
    <t>TOTAL PROFIT</t>
  </si>
  <si>
    <t>TOTAL ORDERS</t>
  </si>
  <si>
    <t>AVG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</si>
</sst>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8"/>
      <color rgb="FFFFFFFF"/>
      <name val="Arial"/>
      <charset val="1"/>
    </font>
    <font>
      <sz val="10"/>
      <color rgb="FFBDD7EE"/>
      <name val="Arial"/>
      <charset val="1"/>
    </font>
    <font>
      <b/>
      <sz val="16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0F4F8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F0F4F8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030A0"/>
      <rgbColor rgb="FFF9F9F9"/>
      <rgbColor rgb="FFF0F4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Summary_Data!$B$3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Summary_Data!$A$4:$A$7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Summary_Data!$B$4:$B$7</c:f>
              <c:numCache>
                <c:formatCode>General</c:formatCode>
                <c:ptCount val="4"/>
                <c:pt idx="0">
                  <c:v>1851785</c:v>
                </c:pt>
                <c:pt idx="1">
                  <c:v>1960300</c:v>
                </c:pt>
                <c:pt idx="2">
                  <c:v>1823450</c:v>
                </c:pt>
                <c:pt idx="3">
                  <c:v>1998625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3-42BF-A40A-6076F5C93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44263"/>
        <c:axId val="90455590"/>
      </c:barChart>
      <c:catAx>
        <c:axId val="502442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55590"/>
        <c:crosses val="autoZero"/>
        <c:auto val="1"/>
        <c:lblAlgn val="ctr"/>
        <c:lblOffset val="100"/>
        <c:noMultiLvlLbl val="0"/>
      </c:catAx>
      <c:valAx>
        <c:axId val="90455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42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304800">
        <a:schemeClr val="accent1">
          <a:alpha val="40000"/>
        </a:schemeClr>
      </a:glow>
      <a:outerShdw blurRad="50800" dist="127000" dir="2700000" algn="tl" rotWithShape="0">
        <a:schemeClr val="tx1">
          <a:lumMod val="75000"/>
          <a:lumOff val="25000"/>
          <a:alpha val="56000"/>
        </a:schemeClr>
      </a:outerShdw>
      <a:softEdge rad="0"/>
    </a:effectLst>
    <a:scene3d>
      <a:camera prst="orthographicFront"/>
      <a:lightRig rig="threePt" dir="t"/>
    </a:scene3d>
    <a:sp3d>
      <a:bevelT w="6350"/>
    </a:sp3d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Summary_Data!$I$3</c:f>
              <c:strCache>
                <c:ptCount val="1"/>
                <c:pt idx="0">
                  <c:v>Sales</c:v>
                </c:pt>
              </c:strCache>
            </c:strRef>
          </c:tx>
          <c:spPr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Summary_Data!$H$4:$H$15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Summary_Data!$I$4:$I$15</c:f>
              <c:numCache>
                <c:formatCode>General</c:formatCode>
                <c:ptCount val="12"/>
                <c:pt idx="0">
                  <c:v>397200</c:v>
                </c:pt>
                <c:pt idx="1">
                  <c:v>420300</c:v>
                </c:pt>
                <c:pt idx="2">
                  <c:v>488300</c:v>
                </c:pt>
                <c:pt idx="3">
                  <c:v>521150</c:v>
                </c:pt>
                <c:pt idx="4">
                  <c:v>535450</c:v>
                </c:pt>
                <c:pt idx="5">
                  <c:v>588950</c:v>
                </c:pt>
                <c:pt idx="6">
                  <c:v>611100</c:v>
                </c:pt>
                <c:pt idx="7">
                  <c:v>655475</c:v>
                </c:pt>
                <c:pt idx="8">
                  <c:v>623200</c:v>
                </c:pt>
                <c:pt idx="9">
                  <c:v>672285</c:v>
                </c:pt>
                <c:pt idx="10">
                  <c:v>714900</c:v>
                </c:pt>
                <c:pt idx="11">
                  <c:v>756050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BA-45AB-8B24-47732738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364500"/>
        <c:axId val="55711677"/>
      </c:lineChart>
      <c:catAx>
        <c:axId val="69364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711677"/>
        <c:crosses val="autoZero"/>
        <c:auto val="1"/>
        <c:lblAlgn val="ctr"/>
        <c:lblOffset val="100"/>
        <c:noMultiLvlLbl val="0"/>
      </c:catAx>
      <c:valAx>
        <c:axId val="55711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64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292100">
        <a:schemeClr val="accent1">
          <a:alpha val="40000"/>
        </a:schemeClr>
      </a:glow>
      <a:outerShdw blurRad="50800" dist="114300" dir="2700000" algn="tl" rotWithShape="0">
        <a:schemeClr val="tx1">
          <a:lumMod val="75000"/>
          <a:lumOff val="25000"/>
          <a:alpha val="61000"/>
        </a:schemeClr>
      </a:outerShdw>
    </a:effec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Summary_Data!$F$3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A76-48A8-8A22-DB6CF609C5CA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A76-48A8-8A22-DB6CF609C5CA}"/>
              </c:ext>
            </c:extLst>
          </c:dPt>
          <c:dPt>
            <c:idx val="2"/>
            <c:bubble3D val="0"/>
            <c:spPr>
              <a:solidFill>
                <a:srgbClr val="37562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A76-48A8-8A22-DB6CF609C5C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A76-48A8-8A22-DB6CF609C5C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A76-48A8-8A22-DB6CF609C5C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A76-48A8-8A22-DB6CF609C5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Summary_Data!$E$4:$E$6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</c:strCache>
            </c:strRef>
          </c:cat>
          <c:val>
            <c:numRef>
              <c:f>Summary_Data!$F$4:$F$6</c:f>
              <c:numCache>
                <c:formatCode>General</c:formatCode>
                <c:ptCount val="3"/>
                <c:pt idx="0">
                  <c:v>2468500</c:v>
                </c:pt>
                <c:pt idx="1">
                  <c:v>1892340</c:v>
                </c:pt>
                <c:pt idx="2">
                  <c:v>1273320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6-48A8-8A22-DB6CF609C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177800">
        <a:schemeClr val="accent1">
          <a:alpha val="40000"/>
        </a:schemeClr>
      </a:glow>
      <a:outerShdw blurRad="50800" dist="127000" dir="1500000" algn="tl" rotWithShape="0">
        <a:schemeClr val="tx1">
          <a:lumMod val="75000"/>
          <a:lumOff val="25000"/>
          <a:alpha val="61000"/>
        </a:schemeClr>
      </a:outerShdw>
    </a:effec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Summary_Data!$L$3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Summary_Data!$K$4:$K$9</c:f>
              <c:strCache>
                <c:ptCount val="6"/>
                <c:pt idx="0">
                  <c:v>Laptop</c:v>
                </c:pt>
                <c:pt idx="1">
                  <c:v>Tablet</c:v>
                </c:pt>
                <c:pt idx="2">
                  <c:v>Monitor</c:v>
                </c:pt>
                <c:pt idx="3">
                  <c:v>Sofa</c:v>
                </c:pt>
                <c:pt idx="4">
                  <c:v>Table</c:v>
                </c:pt>
                <c:pt idx="5">
                  <c:v>Headphones</c:v>
                </c:pt>
              </c:strCache>
            </c:strRef>
          </c:cat>
          <c:val>
            <c:numRef>
              <c:f>Summary_Data!$L$4:$L$9</c:f>
              <c:numCache>
                <c:formatCode>General</c:formatCode>
                <c:ptCount val="6"/>
                <c:pt idx="0">
                  <c:v>1495500</c:v>
                </c:pt>
                <c:pt idx="1">
                  <c:v>1063125</c:v>
                </c:pt>
                <c:pt idx="2">
                  <c:v>870000</c:v>
                </c:pt>
                <c:pt idx="3">
                  <c:v>728300</c:v>
                </c:pt>
                <c:pt idx="4">
                  <c:v>648000</c:v>
                </c:pt>
                <c:pt idx="5">
                  <c:v>522500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C-4B85-BC95-7C87C34E0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77230"/>
        <c:axId val="79780993"/>
      </c:barChart>
      <c:catAx>
        <c:axId val="1597723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80993"/>
        <c:crosses val="autoZero"/>
        <c:auto val="1"/>
        <c:lblAlgn val="ctr"/>
        <c:lblOffset val="100"/>
        <c:noMultiLvlLbl val="0"/>
      </c:catAx>
      <c:valAx>
        <c:axId val="797809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77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152400">
        <a:schemeClr val="accent1">
          <a:alpha val="40000"/>
        </a:schemeClr>
      </a:glow>
      <a:outerShdw blurRad="50800" dist="114300" dir="2700000" algn="tl" rotWithShape="0">
        <a:schemeClr val="tx1">
          <a:lumMod val="75000"/>
          <a:lumOff val="25000"/>
          <a:alpha val="61000"/>
        </a:schemeClr>
      </a:outerShd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334638</xdr:colOff>
      <xdr:row>8</xdr:row>
      <xdr:rowOff>88900</xdr:rowOff>
    </xdr:from>
    <xdr:to>
      <xdr:col>6</xdr:col>
      <xdr:colOff>201288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31138</xdr:colOff>
      <xdr:row>8</xdr:row>
      <xdr:rowOff>77347</xdr:rowOff>
    </xdr:from>
    <xdr:to>
      <xdr:col>14</xdr:col>
      <xdr:colOff>100987</xdr:colOff>
      <xdr:row>20</xdr:row>
      <xdr:rowOff>32897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306636</xdr:colOff>
      <xdr:row>21</xdr:row>
      <xdr:rowOff>109557</xdr:rowOff>
    </xdr:from>
    <xdr:to>
      <xdr:col>6</xdr:col>
      <xdr:colOff>205036</xdr:colOff>
      <xdr:row>35</xdr:row>
      <xdr:rowOff>2143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23487</xdr:colOff>
      <xdr:row>21</xdr:row>
      <xdr:rowOff>75206</xdr:rowOff>
    </xdr:from>
    <xdr:to>
      <xdr:col>14</xdr:col>
      <xdr:colOff>106036</xdr:colOff>
      <xdr:row>34</xdr:row>
      <xdr:rowOff>164106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13" customWidth="1"/>
    <col min="3" max="3" width="8" customWidth="1"/>
    <col min="4" max="4" width="12" customWidth="1"/>
    <col min="5" max="5" width="14" customWidth="1"/>
    <col min="6" max="6" width="10" customWidth="1"/>
    <col min="7" max="7" width="9" customWidth="1"/>
    <col min="8" max="8" width="10" customWidth="1"/>
    <col min="9" max="9" width="14" customWidth="1"/>
    <col min="10" max="10" width="12" customWidth="1"/>
  </cols>
  <sheetData>
    <row r="1" spans="1:10" ht="19.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ht="15" customHeight="1" x14ac:dyDescent="0.35">
      <c r="A2" s="13" t="s">
        <v>10</v>
      </c>
      <c r="B2" s="13" t="s">
        <v>11</v>
      </c>
      <c r="C2" s="13" t="s">
        <v>12</v>
      </c>
      <c r="D2" s="13" t="s">
        <v>13</v>
      </c>
      <c r="E2" s="13" t="s">
        <v>14</v>
      </c>
      <c r="F2" s="13" t="s">
        <v>15</v>
      </c>
      <c r="G2" s="13" t="s">
        <v>16</v>
      </c>
      <c r="H2" s="13" t="s">
        <v>17</v>
      </c>
      <c r="I2" s="13" t="s">
        <v>18</v>
      </c>
      <c r="J2" s="13" t="s">
        <v>19</v>
      </c>
    </row>
    <row r="3" spans="1:10" ht="15" customHeight="1" x14ac:dyDescent="0.35">
      <c r="A3" s="14" t="s">
        <v>20</v>
      </c>
      <c r="B3" s="14" t="s">
        <v>21</v>
      </c>
      <c r="C3" s="14" t="s">
        <v>22</v>
      </c>
      <c r="D3" s="14" t="s">
        <v>23</v>
      </c>
      <c r="E3" s="14" t="s">
        <v>24</v>
      </c>
      <c r="F3" s="14" t="s">
        <v>25</v>
      </c>
      <c r="G3" s="14" t="s">
        <v>26</v>
      </c>
      <c r="H3" s="14" t="s">
        <v>27</v>
      </c>
      <c r="I3" s="14" t="s">
        <v>28</v>
      </c>
      <c r="J3" s="14" t="s">
        <v>29</v>
      </c>
    </row>
    <row r="4" spans="1:10" ht="15" customHeight="1" x14ac:dyDescent="0.35">
      <c r="A4" s="13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3" t="s">
        <v>39</v>
      </c>
    </row>
    <row r="5" spans="1:10" ht="15" customHeight="1" x14ac:dyDescent="0.35">
      <c r="A5" s="14" t="s">
        <v>40</v>
      </c>
      <c r="B5" s="14" t="s">
        <v>41</v>
      </c>
      <c r="C5" s="14" t="s">
        <v>42</v>
      </c>
      <c r="D5" s="14" t="s">
        <v>13</v>
      </c>
      <c r="E5" s="14" t="s">
        <v>43</v>
      </c>
      <c r="F5" s="14" t="s">
        <v>44</v>
      </c>
      <c r="G5" s="14" t="s">
        <v>45</v>
      </c>
      <c r="H5" s="14" t="s">
        <v>17</v>
      </c>
      <c r="I5" s="14" t="s">
        <v>46</v>
      </c>
      <c r="J5" s="14" t="s">
        <v>47</v>
      </c>
    </row>
    <row r="6" spans="1:10" ht="15" customHeight="1" x14ac:dyDescent="0.35">
      <c r="A6" s="13" t="s">
        <v>48</v>
      </c>
      <c r="B6" s="13" t="s">
        <v>49</v>
      </c>
      <c r="C6" s="13" t="s">
        <v>12</v>
      </c>
      <c r="D6" s="13" t="s">
        <v>23</v>
      </c>
      <c r="E6" s="13" t="s">
        <v>50</v>
      </c>
      <c r="F6" s="13" t="s">
        <v>51</v>
      </c>
      <c r="G6" s="13" t="s">
        <v>52</v>
      </c>
      <c r="H6" s="13" t="s">
        <v>37</v>
      </c>
      <c r="I6" s="13" t="s">
        <v>53</v>
      </c>
      <c r="J6" s="13" t="s">
        <v>54</v>
      </c>
    </row>
    <row r="7" spans="1:10" ht="15" customHeight="1" x14ac:dyDescent="0.35">
      <c r="A7" s="14" t="s">
        <v>55</v>
      </c>
      <c r="B7" s="14" t="s">
        <v>56</v>
      </c>
      <c r="C7" s="14" t="s">
        <v>22</v>
      </c>
      <c r="D7" s="14" t="s">
        <v>33</v>
      </c>
      <c r="E7" s="14" t="s">
        <v>57</v>
      </c>
      <c r="F7" s="14" t="s">
        <v>58</v>
      </c>
      <c r="G7" s="14" t="s">
        <v>16</v>
      </c>
      <c r="H7" s="14" t="s">
        <v>27</v>
      </c>
      <c r="I7" s="14" t="s">
        <v>59</v>
      </c>
      <c r="J7" s="14" t="s">
        <v>60</v>
      </c>
    </row>
    <row r="8" spans="1:10" ht="15" customHeight="1" x14ac:dyDescent="0.35">
      <c r="A8" s="13" t="s">
        <v>61</v>
      </c>
      <c r="B8" s="13" t="s">
        <v>62</v>
      </c>
      <c r="C8" s="13" t="s">
        <v>32</v>
      </c>
      <c r="D8" s="13" t="s">
        <v>13</v>
      </c>
      <c r="E8" s="13" t="s">
        <v>63</v>
      </c>
      <c r="F8" s="13" t="s">
        <v>64</v>
      </c>
      <c r="G8" s="13" t="s">
        <v>65</v>
      </c>
      <c r="H8" s="13" t="s">
        <v>17</v>
      </c>
      <c r="I8" s="13" t="s">
        <v>66</v>
      </c>
      <c r="J8" s="13" t="s">
        <v>67</v>
      </c>
    </row>
    <row r="9" spans="1:10" ht="15" customHeight="1" x14ac:dyDescent="0.35">
      <c r="A9" s="14" t="s">
        <v>68</v>
      </c>
      <c r="B9" s="14" t="s">
        <v>69</v>
      </c>
      <c r="C9" s="14" t="s">
        <v>42</v>
      </c>
      <c r="D9" s="14" t="s">
        <v>23</v>
      </c>
      <c r="E9" s="14" t="s">
        <v>70</v>
      </c>
      <c r="F9" s="14" t="s">
        <v>71</v>
      </c>
      <c r="G9" s="14" t="s">
        <v>72</v>
      </c>
      <c r="H9" s="14" t="s">
        <v>37</v>
      </c>
      <c r="I9" s="14" t="s">
        <v>73</v>
      </c>
      <c r="J9" s="14" t="s">
        <v>74</v>
      </c>
    </row>
    <row r="10" spans="1:10" ht="15" customHeight="1" x14ac:dyDescent="0.35">
      <c r="A10" s="13" t="s">
        <v>75</v>
      </c>
      <c r="B10" s="13" t="s">
        <v>76</v>
      </c>
      <c r="C10" s="13" t="s">
        <v>12</v>
      </c>
      <c r="D10" s="13" t="s">
        <v>33</v>
      </c>
      <c r="E10" s="13" t="s">
        <v>77</v>
      </c>
      <c r="F10" s="13" t="s">
        <v>78</v>
      </c>
      <c r="G10" s="13" t="s">
        <v>45</v>
      </c>
      <c r="H10" s="13" t="s">
        <v>17</v>
      </c>
      <c r="I10" s="13" t="s">
        <v>79</v>
      </c>
      <c r="J10" s="13" t="s">
        <v>80</v>
      </c>
    </row>
    <row r="11" spans="1:10" ht="15" customHeight="1" x14ac:dyDescent="0.35">
      <c r="A11" s="14" t="s">
        <v>81</v>
      </c>
      <c r="B11" s="14" t="s">
        <v>82</v>
      </c>
      <c r="C11" s="14" t="s">
        <v>22</v>
      </c>
      <c r="D11" s="14" t="s">
        <v>13</v>
      </c>
      <c r="E11" s="14" t="s">
        <v>83</v>
      </c>
      <c r="F11" s="14" t="s">
        <v>84</v>
      </c>
      <c r="G11" s="14" t="s">
        <v>85</v>
      </c>
      <c r="H11" s="14" t="s">
        <v>37</v>
      </c>
      <c r="I11" s="14" t="s">
        <v>86</v>
      </c>
      <c r="J11" s="14" t="s">
        <v>87</v>
      </c>
    </row>
    <row r="12" spans="1:10" ht="15" customHeight="1" x14ac:dyDescent="0.35">
      <c r="A12" s="13" t="s">
        <v>88</v>
      </c>
      <c r="B12" s="13" t="s">
        <v>89</v>
      </c>
      <c r="C12" s="13" t="s">
        <v>32</v>
      </c>
      <c r="D12" s="13" t="s">
        <v>23</v>
      </c>
      <c r="E12" s="13" t="s">
        <v>24</v>
      </c>
      <c r="F12" s="13" t="s">
        <v>25</v>
      </c>
      <c r="G12" s="13" t="s">
        <v>90</v>
      </c>
      <c r="H12" s="13" t="s">
        <v>17</v>
      </c>
      <c r="I12" s="13" t="s">
        <v>91</v>
      </c>
      <c r="J12" s="13" t="s">
        <v>92</v>
      </c>
    </row>
    <row r="13" spans="1:10" ht="15" customHeight="1" x14ac:dyDescent="0.35">
      <c r="A13" s="14" t="s">
        <v>93</v>
      </c>
      <c r="B13" s="14" t="s">
        <v>94</v>
      </c>
      <c r="C13" s="14" t="s">
        <v>42</v>
      </c>
      <c r="D13" s="14" t="s">
        <v>13</v>
      </c>
      <c r="E13" s="14" t="s">
        <v>14</v>
      </c>
      <c r="F13" s="14" t="s">
        <v>15</v>
      </c>
      <c r="G13" s="14" t="s">
        <v>95</v>
      </c>
      <c r="H13" s="14" t="s">
        <v>37</v>
      </c>
      <c r="I13" s="14" t="s">
        <v>15</v>
      </c>
      <c r="J13" s="14" t="s">
        <v>96</v>
      </c>
    </row>
    <row r="14" spans="1:10" ht="15" customHeight="1" x14ac:dyDescent="0.35">
      <c r="A14" s="13" t="s">
        <v>97</v>
      </c>
      <c r="B14" s="13" t="s">
        <v>98</v>
      </c>
      <c r="C14" s="13" t="s">
        <v>12</v>
      </c>
      <c r="D14" s="13" t="s">
        <v>33</v>
      </c>
      <c r="E14" s="13" t="s">
        <v>99</v>
      </c>
      <c r="F14" s="13" t="s">
        <v>73</v>
      </c>
      <c r="G14" s="13" t="s">
        <v>16</v>
      </c>
      <c r="H14" s="13" t="s">
        <v>27</v>
      </c>
      <c r="I14" s="13" t="s">
        <v>100</v>
      </c>
      <c r="J14" s="13" t="s">
        <v>101</v>
      </c>
    </row>
    <row r="15" spans="1:10" ht="15" customHeight="1" x14ac:dyDescent="0.35">
      <c r="A15" s="14" t="s">
        <v>102</v>
      </c>
      <c r="B15" s="14" t="s">
        <v>103</v>
      </c>
      <c r="C15" s="14" t="s">
        <v>22</v>
      </c>
      <c r="D15" s="14" t="s">
        <v>13</v>
      </c>
      <c r="E15" s="14" t="s">
        <v>43</v>
      </c>
      <c r="F15" s="14" t="s">
        <v>44</v>
      </c>
      <c r="G15" s="14" t="s">
        <v>65</v>
      </c>
      <c r="H15" s="14" t="s">
        <v>17</v>
      </c>
      <c r="I15" s="14" t="s">
        <v>104</v>
      </c>
      <c r="J15" s="14" t="s">
        <v>105</v>
      </c>
    </row>
    <row r="16" spans="1:10" ht="15" customHeight="1" x14ac:dyDescent="0.35">
      <c r="A16" s="13" t="s">
        <v>106</v>
      </c>
      <c r="B16" s="13" t="s">
        <v>107</v>
      </c>
      <c r="C16" s="13" t="s">
        <v>32</v>
      </c>
      <c r="D16" s="13" t="s">
        <v>23</v>
      </c>
      <c r="E16" s="13" t="s">
        <v>108</v>
      </c>
      <c r="F16" s="13" t="s">
        <v>109</v>
      </c>
      <c r="G16" s="13" t="s">
        <v>85</v>
      </c>
      <c r="H16" s="13" t="s">
        <v>37</v>
      </c>
      <c r="I16" s="13" t="s">
        <v>110</v>
      </c>
      <c r="J16" s="13" t="s">
        <v>111</v>
      </c>
    </row>
    <row r="17" spans="1:10" ht="15" customHeight="1" x14ac:dyDescent="0.35">
      <c r="A17" s="14" t="s">
        <v>112</v>
      </c>
      <c r="B17" s="14" t="s">
        <v>113</v>
      </c>
      <c r="C17" s="14" t="s">
        <v>42</v>
      </c>
      <c r="D17" s="14" t="s">
        <v>33</v>
      </c>
      <c r="E17" s="14" t="s">
        <v>34</v>
      </c>
      <c r="F17" s="14" t="s">
        <v>35</v>
      </c>
      <c r="G17" s="14" t="s">
        <v>114</v>
      </c>
      <c r="H17" s="14" t="s">
        <v>17</v>
      </c>
      <c r="I17" s="14" t="s">
        <v>115</v>
      </c>
      <c r="J17" s="14" t="s">
        <v>116</v>
      </c>
    </row>
    <row r="18" spans="1:10" ht="15" customHeight="1" x14ac:dyDescent="0.35">
      <c r="A18" s="13" t="s">
        <v>117</v>
      </c>
      <c r="B18" s="13" t="s">
        <v>118</v>
      </c>
      <c r="C18" s="13" t="s">
        <v>12</v>
      </c>
      <c r="D18" s="13" t="s">
        <v>13</v>
      </c>
      <c r="E18" s="13" t="s">
        <v>63</v>
      </c>
      <c r="F18" s="13" t="s">
        <v>64</v>
      </c>
      <c r="G18" s="13" t="s">
        <v>45</v>
      </c>
      <c r="H18" s="13" t="s">
        <v>37</v>
      </c>
      <c r="I18" s="13" t="s">
        <v>119</v>
      </c>
      <c r="J18" s="13" t="s">
        <v>120</v>
      </c>
    </row>
    <row r="19" spans="1:10" ht="15" customHeight="1" x14ac:dyDescent="0.35">
      <c r="A19" s="14" t="s">
        <v>121</v>
      </c>
      <c r="B19" s="14" t="s">
        <v>122</v>
      </c>
      <c r="C19" s="14" t="s">
        <v>22</v>
      </c>
      <c r="D19" s="14" t="s">
        <v>23</v>
      </c>
      <c r="E19" s="14" t="s">
        <v>50</v>
      </c>
      <c r="F19" s="14" t="s">
        <v>51</v>
      </c>
      <c r="G19" s="14" t="s">
        <v>123</v>
      </c>
      <c r="H19" s="14" t="s">
        <v>27</v>
      </c>
      <c r="I19" s="14" t="s">
        <v>73</v>
      </c>
      <c r="J19" s="14" t="s">
        <v>74</v>
      </c>
    </row>
    <row r="20" spans="1:10" ht="15" customHeight="1" x14ac:dyDescent="0.35">
      <c r="A20" s="13" t="s">
        <v>124</v>
      </c>
      <c r="B20" s="13" t="s">
        <v>125</v>
      </c>
      <c r="C20" s="13" t="s">
        <v>32</v>
      </c>
      <c r="D20" s="13" t="s">
        <v>33</v>
      </c>
      <c r="E20" s="13" t="s">
        <v>57</v>
      </c>
      <c r="F20" s="13" t="s">
        <v>58</v>
      </c>
      <c r="G20" s="13" t="s">
        <v>45</v>
      </c>
      <c r="H20" s="13" t="s">
        <v>17</v>
      </c>
      <c r="I20" s="13" t="s">
        <v>126</v>
      </c>
      <c r="J20" s="13" t="s">
        <v>127</v>
      </c>
    </row>
    <row r="21" spans="1:10" ht="15" customHeight="1" x14ac:dyDescent="0.35">
      <c r="A21" s="14" t="s">
        <v>128</v>
      </c>
      <c r="B21" s="14" t="s">
        <v>129</v>
      </c>
      <c r="C21" s="14" t="s">
        <v>42</v>
      </c>
      <c r="D21" s="14" t="s">
        <v>13</v>
      </c>
      <c r="E21" s="14" t="s">
        <v>83</v>
      </c>
      <c r="F21" s="14" t="s">
        <v>84</v>
      </c>
      <c r="G21" s="14" t="s">
        <v>26</v>
      </c>
      <c r="H21" s="14" t="s">
        <v>37</v>
      </c>
      <c r="I21" s="14" t="s">
        <v>130</v>
      </c>
      <c r="J21" s="14" t="s">
        <v>131</v>
      </c>
    </row>
    <row r="22" spans="1:10" ht="15" customHeight="1" x14ac:dyDescent="0.35">
      <c r="A22" s="13" t="s">
        <v>132</v>
      </c>
      <c r="B22" s="13" t="s">
        <v>133</v>
      </c>
      <c r="C22" s="13" t="s">
        <v>12</v>
      </c>
      <c r="D22" s="13" t="s">
        <v>23</v>
      </c>
      <c r="E22" s="13" t="s">
        <v>24</v>
      </c>
      <c r="F22" s="13" t="s">
        <v>25</v>
      </c>
      <c r="G22" s="13" t="s">
        <v>134</v>
      </c>
      <c r="H22" s="13" t="s">
        <v>17</v>
      </c>
      <c r="I22" s="13" t="s">
        <v>135</v>
      </c>
      <c r="J22" s="13" t="s">
        <v>136</v>
      </c>
    </row>
    <row r="23" spans="1:10" ht="15" customHeight="1" x14ac:dyDescent="0.35">
      <c r="A23" s="14" t="s">
        <v>137</v>
      </c>
      <c r="B23" s="14" t="s">
        <v>138</v>
      </c>
      <c r="C23" s="14" t="s">
        <v>22</v>
      </c>
      <c r="D23" s="14" t="s">
        <v>33</v>
      </c>
      <c r="E23" s="14" t="s">
        <v>77</v>
      </c>
      <c r="F23" s="14" t="s">
        <v>78</v>
      </c>
      <c r="G23" s="14" t="s">
        <v>65</v>
      </c>
      <c r="H23" s="14" t="s">
        <v>37</v>
      </c>
      <c r="I23" s="14" t="s">
        <v>139</v>
      </c>
      <c r="J23" s="14" t="s">
        <v>140</v>
      </c>
    </row>
    <row r="24" spans="1:10" ht="15" customHeight="1" x14ac:dyDescent="0.35">
      <c r="A24" s="13" t="s">
        <v>141</v>
      </c>
      <c r="B24" s="13" t="s">
        <v>142</v>
      </c>
      <c r="C24" s="13" t="s">
        <v>32</v>
      </c>
      <c r="D24" s="13" t="s">
        <v>13</v>
      </c>
      <c r="E24" s="13" t="s">
        <v>14</v>
      </c>
      <c r="F24" s="13" t="s">
        <v>15</v>
      </c>
      <c r="G24" s="13" t="s">
        <v>16</v>
      </c>
      <c r="H24" s="13" t="s">
        <v>27</v>
      </c>
      <c r="I24" s="13" t="s">
        <v>143</v>
      </c>
      <c r="J24" s="13" t="s">
        <v>144</v>
      </c>
    </row>
    <row r="25" spans="1:10" ht="15" customHeight="1" x14ac:dyDescent="0.35">
      <c r="A25" s="14" t="s">
        <v>145</v>
      </c>
      <c r="B25" s="14" t="s">
        <v>146</v>
      </c>
      <c r="C25" s="14" t="s">
        <v>42</v>
      </c>
      <c r="D25" s="14" t="s">
        <v>23</v>
      </c>
      <c r="E25" s="14" t="s">
        <v>70</v>
      </c>
      <c r="F25" s="14" t="s">
        <v>71</v>
      </c>
      <c r="G25" s="14" t="s">
        <v>147</v>
      </c>
      <c r="H25" s="14" t="s">
        <v>37</v>
      </c>
      <c r="I25" s="14" t="s">
        <v>148</v>
      </c>
      <c r="J25" s="14" t="s">
        <v>149</v>
      </c>
    </row>
    <row r="26" spans="1:10" ht="15" customHeight="1" x14ac:dyDescent="0.35">
      <c r="A26" s="13" t="s">
        <v>150</v>
      </c>
      <c r="B26" s="13" t="s">
        <v>151</v>
      </c>
      <c r="C26" s="13" t="s">
        <v>12</v>
      </c>
      <c r="D26" s="13" t="s">
        <v>13</v>
      </c>
      <c r="E26" s="13" t="s">
        <v>43</v>
      </c>
      <c r="F26" s="13" t="s">
        <v>44</v>
      </c>
      <c r="G26" s="13" t="s">
        <v>36</v>
      </c>
      <c r="H26" s="13" t="s">
        <v>17</v>
      </c>
      <c r="I26" s="13" t="s">
        <v>152</v>
      </c>
      <c r="J26" s="13" t="s">
        <v>153</v>
      </c>
    </row>
    <row r="27" spans="1:10" ht="15" customHeight="1" x14ac:dyDescent="0.35">
      <c r="A27" s="14" t="s">
        <v>154</v>
      </c>
      <c r="B27" s="14" t="s">
        <v>155</v>
      </c>
      <c r="C27" s="14" t="s">
        <v>22</v>
      </c>
      <c r="D27" s="14" t="s">
        <v>33</v>
      </c>
      <c r="E27" s="14" t="s">
        <v>99</v>
      </c>
      <c r="F27" s="14" t="s">
        <v>73</v>
      </c>
      <c r="G27" s="14" t="s">
        <v>45</v>
      </c>
      <c r="H27" s="14" t="s">
        <v>27</v>
      </c>
      <c r="I27" s="14" t="s">
        <v>156</v>
      </c>
      <c r="J27" s="14" t="s">
        <v>157</v>
      </c>
    </row>
    <row r="28" spans="1:10" ht="15" customHeight="1" x14ac:dyDescent="0.35">
      <c r="A28" s="13" t="s">
        <v>158</v>
      </c>
      <c r="B28" s="13" t="s">
        <v>159</v>
      </c>
      <c r="C28" s="13" t="s">
        <v>32</v>
      </c>
      <c r="D28" s="13" t="s">
        <v>23</v>
      </c>
      <c r="E28" s="13" t="s">
        <v>108</v>
      </c>
      <c r="F28" s="13" t="s">
        <v>109</v>
      </c>
      <c r="G28" s="13" t="s">
        <v>26</v>
      </c>
      <c r="H28" s="13" t="s">
        <v>37</v>
      </c>
      <c r="I28" s="13" t="s">
        <v>44</v>
      </c>
      <c r="J28" s="13" t="s">
        <v>160</v>
      </c>
    </row>
    <row r="29" spans="1:10" ht="15" customHeight="1" x14ac:dyDescent="0.35">
      <c r="A29" s="14" t="s">
        <v>161</v>
      </c>
      <c r="B29" s="14" t="s">
        <v>162</v>
      </c>
      <c r="C29" s="14" t="s">
        <v>42</v>
      </c>
      <c r="D29" s="14" t="s">
        <v>13</v>
      </c>
      <c r="E29" s="14" t="s">
        <v>63</v>
      </c>
      <c r="F29" s="14" t="s">
        <v>64</v>
      </c>
      <c r="G29" s="14" t="s">
        <v>36</v>
      </c>
      <c r="H29" s="14" t="s">
        <v>17</v>
      </c>
      <c r="I29" s="14" t="s">
        <v>46</v>
      </c>
      <c r="J29" s="14" t="s">
        <v>47</v>
      </c>
    </row>
    <row r="30" spans="1:10" ht="15" customHeight="1" x14ac:dyDescent="0.35">
      <c r="A30" s="13" t="s">
        <v>163</v>
      </c>
      <c r="B30" s="13" t="s">
        <v>164</v>
      </c>
      <c r="C30" s="13" t="s">
        <v>12</v>
      </c>
      <c r="D30" s="13" t="s">
        <v>33</v>
      </c>
      <c r="E30" s="13" t="s">
        <v>34</v>
      </c>
      <c r="F30" s="13" t="s">
        <v>35</v>
      </c>
      <c r="G30" s="13" t="s">
        <v>165</v>
      </c>
      <c r="H30" s="13" t="s">
        <v>37</v>
      </c>
      <c r="I30" s="13" t="s">
        <v>166</v>
      </c>
      <c r="J30" s="13" t="s">
        <v>167</v>
      </c>
    </row>
    <row r="31" spans="1:10" ht="15" customHeight="1" x14ac:dyDescent="0.35">
      <c r="A31" s="14" t="s">
        <v>168</v>
      </c>
      <c r="B31" s="14" t="s">
        <v>169</v>
      </c>
      <c r="C31" s="14" t="s">
        <v>22</v>
      </c>
      <c r="D31" s="14" t="s">
        <v>23</v>
      </c>
      <c r="E31" s="14" t="s">
        <v>50</v>
      </c>
      <c r="F31" s="14" t="s">
        <v>51</v>
      </c>
      <c r="G31" s="14" t="s">
        <v>170</v>
      </c>
      <c r="H31" s="14" t="s">
        <v>27</v>
      </c>
      <c r="I31" s="14" t="s">
        <v>148</v>
      </c>
      <c r="J31" s="14" t="s">
        <v>149</v>
      </c>
    </row>
    <row r="32" spans="1:10" ht="15" customHeight="1" x14ac:dyDescent="0.35">
      <c r="A32" s="13" t="s">
        <v>171</v>
      </c>
      <c r="B32" s="13" t="s">
        <v>172</v>
      </c>
      <c r="C32" s="13" t="s">
        <v>32</v>
      </c>
      <c r="D32" s="13" t="s">
        <v>13</v>
      </c>
      <c r="E32" s="13" t="s">
        <v>83</v>
      </c>
      <c r="F32" s="13" t="s">
        <v>84</v>
      </c>
      <c r="G32" s="13" t="s">
        <v>90</v>
      </c>
      <c r="H32" s="13" t="s">
        <v>37</v>
      </c>
      <c r="I32" s="13" t="s">
        <v>173</v>
      </c>
      <c r="J32" s="13" t="s">
        <v>167</v>
      </c>
    </row>
    <row r="33" spans="1:10" ht="15" customHeight="1" x14ac:dyDescent="0.35">
      <c r="A33" s="14" t="s">
        <v>174</v>
      </c>
      <c r="B33" s="14" t="s">
        <v>175</v>
      </c>
      <c r="C33" s="14" t="s">
        <v>42</v>
      </c>
      <c r="D33" s="14" t="s">
        <v>33</v>
      </c>
      <c r="E33" s="14" t="s">
        <v>57</v>
      </c>
      <c r="F33" s="14" t="s">
        <v>58</v>
      </c>
      <c r="G33" s="14" t="s">
        <v>16</v>
      </c>
      <c r="H33" s="14" t="s">
        <v>17</v>
      </c>
      <c r="I33" s="14" t="s">
        <v>176</v>
      </c>
      <c r="J33" s="14" t="s">
        <v>177</v>
      </c>
    </row>
    <row r="34" spans="1:10" ht="15" customHeight="1" x14ac:dyDescent="0.35">
      <c r="A34" s="13" t="s">
        <v>178</v>
      </c>
      <c r="B34" s="13" t="s">
        <v>179</v>
      </c>
      <c r="C34" s="13" t="s">
        <v>12</v>
      </c>
      <c r="D34" s="13" t="s">
        <v>23</v>
      </c>
      <c r="E34" s="13" t="s">
        <v>24</v>
      </c>
      <c r="F34" s="13" t="s">
        <v>25</v>
      </c>
      <c r="G34" s="13" t="s">
        <v>180</v>
      </c>
      <c r="H34" s="13" t="s">
        <v>17</v>
      </c>
      <c r="I34" s="13" t="s">
        <v>181</v>
      </c>
      <c r="J34" s="13" t="s">
        <v>182</v>
      </c>
    </row>
    <row r="35" spans="1:10" ht="15" customHeight="1" x14ac:dyDescent="0.35">
      <c r="A35" s="14" t="s">
        <v>183</v>
      </c>
      <c r="B35" s="14" t="s">
        <v>184</v>
      </c>
      <c r="C35" s="14" t="s">
        <v>22</v>
      </c>
      <c r="D35" s="14" t="s">
        <v>13</v>
      </c>
      <c r="E35" s="14" t="s">
        <v>14</v>
      </c>
      <c r="F35" s="14" t="s">
        <v>15</v>
      </c>
      <c r="G35" s="14" t="s">
        <v>45</v>
      </c>
      <c r="H35" s="14" t="s">
        <v>27</v>
      </c>
      <c r="I35" s="14" t="s">
        <v>185</v>
      </c>
      <c r="J35" s="14" t="s">
        <v>186</v>
      </c>
    </row>
    <row r="36" spans="1:10" ht="15" customHeight="1" x14ac:dyDescent="0.35">
      <c r="A36" s="13" t="s">
        <v>187</v>
      </c>
      <c r="B36" s="13" t="s">
        <v>188</v>
      </c>
      <c r="C36" s="13" t="s">
        <v>32</v>
      </c>
      <c r="D36" s="13" t="s">
        <v>33</v>
      </c>
      <c r="E36" s="13" t="s">
        <v>77</v>
      </c>
      <c r="F36" s="13" t="s">
        <v>78</v>
      </c>
      <c r="G36" s="13" t="s">
        <v>36</v>
      </c>
      <c r="H36" s="13" t="s">
        <v>37</v>
      </c>
      <c r="I36" s="13" t="s">
        <v>189</v>
      </c>
      <c r="J36" s="13" t="s">
        <v>190</v>
      </c>
    </row>
    <row r="37" spans="1:10" ht="15" customHeight="1" x14ac:dyDescent="0.35">
      <c r="A37" s="14" t="s">
        <v>191</v>
      </c>
      <c r="B37" s="14" t="s">
        <v>192</v>
      </c>
      <c r="C37" s="14" t="s">
        <v>42</v>
      </c>
      <c r="D37" s="14" t="s">
        <v>23</v>
      </c>
      <c r="E37" s="14" t="s">
        <v>70</v>
      </c>
      <c r="F37" s="14" t="s">
        <v>71</v>
      </c>
      <c r="G37" s="14" t="s">
        <v>52</v>
      </c>
      <c r="H37" s="14" t="s">
        <v>37</v>
      </c>
      <c r="I37" s="14" t="s">
        <v>193</v>
      </c>
      <c r="J37" s="14" t="s">
        <v>194</v>
      </c>
    </row>
    <row r="38" spans="1:10" ht="15" customHeight="1" x14ac:dyDescent="0.35">
      <c r="A38" s="13" t="s">
        <v>195</v>
      </c>
      <c r="B38" s="13" t="s">
        <v>196</v>
      </c>
      <c r="C38" s="13" t="s">
        <v>12</v>
      </c>
      <c r="D38" s="13" t="s">
        <v>13</v>
      </c>
      <c r="E38" s="13" t="s">
        <v>43</v>
      </c>
      <c r="F38" s="13" t="s">
        <v>44</v>
      </c>
      <c r="G38" s="13" t="s">
        <v>65</v>
      </c>
      <c r="H38" s="13" t="s">
        <v>17</v>
      </c>
      <c r="I38" s="13" t="s">
        <v>104</v>
      </c>
      <c r="J38" s="13" t="s">
        <v>105</v>
      </c>
    </row>
    <row r="39" spans="1:10" ht="15" customHeight="1" x14ac:dyDescent="0.35">
      <c r="A39" s="14" t="s">
        <v>197</v>
      </c>
      <c r="B39" s="14" t="s">
        <v>198</v>
      </c>
      <c r="C39" s="14" t="s">
        <v>22</v>
      </c>
      <c r="D39" s="14" t="s">
        <v>33</v>
      </c>
      <c r="E39" s="14" t="s">
        <v>99</v>
      </c>
      <c r="F39" s="14" t="s">
        <v>73</v>
      </c>
      <c r="G39" s="14" t="s">
        <v>16</v>
      </c>
      <c r="H39" s="14" t="s">
        <v>37</v>
      </c>
      <c r="I39" s="14" t="s">
        <v>199</v>
      </c>
      <c r="J39" s="14" t="s">
        <v>200</v>
      </c>
    </row>
    <row r="40" spans="1:10" ht="15" customHeight="1" x14ac:dyDescent="0.35">
      <c r="A40" s="13" t="s">
        <v>201</v>
      </c>
      <c r="B40" s="13" t="s">
        <v>202</v>
      </c>
      <c r="C40" s="13" t="s">
        <v>32</v>
      </c>
      <c r="D40" s="13" t="s">
        <v>23</v>
      </c>
      <c r="E40" s="13" t="s">
        <v>108</v>
      </c>
      <c r="F40" s="13" t="s">
        <v>109</v>
      </c>
      <c r="G40" s="13" t="s">
        <v>90</v>
      </c>
      <c r="H40" s="13" t="s">
        <v>27</v>
      </c>
      <c r="I40" s="13" t="s">
        <v>203</v>
      </c>
      <c r="J40" s="13" t="s">
        <v>200</v>
      </c>
    </row>
    <row r="41" spans="1:10" ht="15" customHeight="1" x14ac:dyDescent="0.35">
      <c r="A41" s="14" t="s">
        <v>204</v>
      </c>
      <c r="B41" s="14" t="s">
        <v>205</v>
      </c>
      <c r="C41" s="14" t="s">
        <v>42</v>
      </c>
      <c r="D41" s="14" t="s">
        <v>13</v>
      </c>
      <c r="E41" s="14" t="s">
        <v>63</v>
      </c>
      <c r="F41" s="14" t="s">
        <v>64</v>
      </c>
      <c r="G41" s="14" t="s">
        <v>114</v>
      </c>
      <c r="H41" s="14" t="s">
        <v>17</v>
      </c>
      <c r="I41" s="14" t="s">
        <v>206</v>
      </c>
      <c r="J41" s="14" t="s">
        <v>207</v>
      </c>
    </row>
    <row r="42" spans="1:10" ht="15" customHeight="1" x14ac:dyDescent="0.35">
      <c r="A42" s="13" t="s">
        <v>208</v>
      </c>
      <c r="B42" s="13" t="s">
        <v>209</v>
      </c>
      <c r="C42" s="13" t="s">
        <v>12</v>
      </c>
      <c r="D42" s="13" t="s">
        <v>33</v>
      </c>
      <c r="E42" s="13" t="s">
        <v>34</v>
      </c>
      <c r="F42" s="13" t="s">
        <v>35</v>
      </c>
      <c r="G42" s="13" t="s">
        <v>85</v>
      </c>
      <c r="H42" s="13" t="s">
        <v>37</v>
      </c>
      <c r="I42" s="13" t="s">
        <v>210</v>
      </c>
      <c r="J42" s="13" t="s">
        <v>211</v>
      </c>
    </row>
    <row r="43" spans="1:10" ht="15" customHeight="1" x14ac:dyDescent="0.35">
      <c r="A43" s="14" t="s">
        <v>212</v>
      </c>
      <c r="B43" s="14" t="s">
        <v>213</v>
      </c>
      <c r="C43" s="14" t="s">
        <v>22</v>
      </c>
      <c r="D43" s="14" t="s">
        <v>23</v>
      </c>
      <c r="E43" s="14" t="s">
        <v>50</v>
      </c>
      <c r="F43" s="14" t="s">
        <v>51</v>
      </c>
      <c r="G43" s="14" t="s">
        <v>214</v>
      </c>
      <c r="H43" s="14" t="s">
        <v>27</v>
      </c>
      <c r="I43" s="14" t="s">
        <v>215</v>
      </c>
      <c r="J43" s="14" t="s">
        <v>216</v>
      </c>
    </row>
    <row r="44" spans="1:10" ht="15" customHeight="1" x14ac:dyDescent="0.35">
      <c r="A44" s="13" t="s">
        <v>217</v>
      </c>
      <c r="B44" s="13" t="s">
        <v>218</v>
      </c>
      <c r="C44" s="13" t="s">
        <v>32</v>
      </c>
      <c r="D44" s="13" t="s">
        <v>13</v>
      </c>
      <c r="E44" s="13" t="s">
        <v>83</v>
      </c>
      <c r="F44" s="13" t="s">
        <v>84</v>
      </c>
      <c r="G44" s="13" t="s">
        <v>72</v>
      </c>
      <c r="H44" s="13" t="s">
        <v>37</v>
      </c>
      <c r="I44" s="13" t="s">
        <v>219</v>
      </c>
      <c r="J44" s="13" t="s">
        <v>220</v>
      </c>
    </row>
    <row r="45" spans="1:10" ht="15" customHeight="1" x14ac:dyDescent="0.35">
      <c r="A45" s="14" t="s">
        <v>221</v>
      </c>
      <c r="B45" s="14" t="s">
        <v>222</v>
      </c>
      <c r="C45" s="14" t="s">
        <v>42</v>
      </c>
      <c r="D45" s="14" t="s">
        <v>33</v>
      </c>
      <c r="E45" s="14" t="s">
        <v>57</v>
      </c>
      <c r="F45" s="14" t="s">
        <v>58</v>
      </c>
      <c r="G45" s="14" t="s">
        <v>45</v>
      </c>
      <c r="H45" s="14" t="s">
        <v>17</v>
      </c>
      <c r="I45" s="14" t="s">
        <v>126</v>
      </c>
      <c r="J45" s="14" t="s">
        <v>127</v>
      </c>
    </row>
    <row r="46" spans="1:10" ht="15" customHeight="1" x14ac:dyDescent="0.35">
      <c r="A46" s="13" t="s">
        <v>223</v>
      </c>
      <c r="B46" s="13" t="s">
        <v>224</v>
      </c>
      <c r="C46" s="13" t="s">
        <v>12</v>
      </c>
      <c r="D46" s="13" t="s">
        <v>23</v>
      </c>
      <c r="E46" s="13" t="s">
        <v>24</v>
      </c>
      <c r="F46" s="13" t="s">
        <v>25</v>
      </c>
      <c r="G46" s="13" t="s">
        <v>147</v>
      </c>
      <c r="H46" s="13" t="s">
        <v>17</v>
      </c>
      <c r="I46" s="13" t="s">
        <v>225</v>
      </c>
      <c r="J46" s="13" t="s">
        <v>80</v>
      </c>
    </row>
    <row r="47" spans="1:10" ht="15" customHeight="1" x14ac:dyDescent="0.35">
      <c r="A47" s="14" t="s">
        <v>226</v>
      </c>
      <c r="B47" s="14" t="s">
        <v>227</v>
      </c>
      <c r="C47" s="14" t="s">
        <v>22</v>
      </c>
      <c r="D47" s="14" t="s">
        <v>13</v>
      </c>
      <c r="E47" s="14" t="s">
        <v>14</v>
      </c>
      <c r="F47" s="14" t="s">
        <v>15</v>
      </c>
      <c r="G47" s="14" t="s">
        <v>16</v>
      </c>
      <c r="H47" s="14" t="s">
        <v>37</v>
      </c>
      <c r="I47" s="14" t="s">
        <v>228</v>
      </c>
      <c r="J47" s="14" t="s">
        <v>229</v>
      </c>
    </row>
    <row r="48" spans="1:10" ht="15" customHeight="1" x14ac:dyDescent="0.35">
      <c r="A48" s="13" t="s">
        <v>230</v>
      </c>
      <c r="B48" s="13" t="s">
        <v>231</v>
      </c>
      <c r="C48" s="13" t="s">
        <v>32</v>
      </c>
      <c r="D48" s="13" t="s">
        <v>33</v>
      </c>
      <c r="E48" s="13" t="s">
        <v>77</v>
      </c>
      <c r="F48" s="13" t="s">
        <v>78</v>
      </c>
      <c r="G48" s="13" t="s">
        <v>114</v>
      </c>
      <c r="H48" s="13" t="s">
        <v>27</v>
      </c>
      <c r="I48" s="13" t="s">
        <v>232</v>
      </c>
      <c r="J48" s="13" t="s">
        <v>233</v>
      </c>
    </row>
    <row r="49" spans="1:10" ht="15" customHeight="1" x14ac:dyDescent="0.35">
      <c r="A49" s="14" t="s">
        <v>234</v>
      </c>
      <c r="B49" s="14" t="s">
        <v>235</v>
      </c>
      <c r="C49" s="14" t="s">
        <v>42</v>
      </c>
      <c r="D49" s="14" t="s">
        <v>23</v>
      </c>
      <c r="E49" s="14" t="s">
        <v>70</v>
      </c>
      <c r="F49" s="14" t="s">
        <v>71</v>
      </c>
      <c r="G49" s="14" t="s">
        <v>236</v>
      </c>
      <c r="H49" s="14" t="s">
        <v>37</v>
      </c>
      <c r="I49" s="14" t="s">
        <v>237</v>
      </c>
      <c r="J49" s="14" t="s">
        <v>238</v>
      </c>
    </row>
    <row r="50" spans="1:10" ht="15" customHeight="1" x14ac:dyDescent="0.35">
      <c r="A50" s="13" t="s">
        <v>239</v>
      </c>
      <c r="B50" s="13" t="s">
        <v>240</v>
      </c>
      <c r="C50" s="13" t="s">
        <v>12</v>
      </c>
      <c r="D50" s="13" t="s">
        <v>13</v>
      </c>
      <c r="E50" s="13" t="s">
        <v>43</v>
      </c>
      <c r="F50" s="13" t="s">
        <v>44</v>
      </c>
      <c r="G50" s="13" t="s">
        <v>114</v>
      </c>
      <c r="H50" s="13" t="s">
        <v>17</v>
      </c>
      <c r="I50" s="13" t="s">
        <v>241</v>
      </c>
      <c r="J50" s="13" t="s">
        <v>242</v>
      </c>
    </row>
    <row r="51" spans="1:10" ht="15" customHeight="1" x14ac:dyDescent="0.35">
      <c r="A51" s="14" t="s">
        <v>243</v>
      </c>
      <c r="B51" s="14" t="s">
        <v>244</v>
      </c>
      <c r="C51" s="14" t="s">
        <v>22</v>
      </c>
      <c r="D51" s="14" t="s">
        <v>33</v>
      </c>
      <c r="E51" s="14" t="s">
        <v>99</v>
      </c>
      <c r="F51" s="14" t="s">
        <v>73</v>
      </c>
      <c r="G51" s="14" t="s">
        <v>65</v>
      </c>
      <c r="H51" s="14" t="s">
        <v>27</v>
      </c>
      <c r="I51" s="14" t="s">
        <v>232</v>
      </c>
      <c r="J51" s="14" t="s">
        <v>233</v>
      </c>
    </row>
    <row r="52" spans="1:10" ht="15" customHeight="1" x14ac:dyDescent="0.35">
      <c r="A52" s="13" t="s">
        <v>245</v>
      </c>
      <c r="B52" s="13" t="s">
        <v>246</v>
      </c>
      <c r="C52" s="13" t="s">
        <v>32</v>
      </c>
      <c r="D52" s="13" t="s">
        <v>23</v>
      </c>
      <c r="E52" s="13" t="s">
        <v>108</v>
      </c>
      <c r="F52" s="13" t="s">
        <v>109</v>
      </c>
      <c r="G52" s="13" t="s">
        <v>134</v>
      </c>
      <c r="H52" s="13" t="s">
        <v>37</v>
      </c>
      <c r="I52" s="13" t="s">
        <v>130</v>
      </c>
      <c r="J52" s="13" t="s">
        <v>131</v>
      </c>
    </row>
    <row r="53" spans="1:10" ht="15" customHeight="1" x14ac:dyDescent="0.35">
      <c r="A53" s="14" t="s">
        <v>247</v>
      </c>
      <c r="B53" s="14" t="s">
        <v>248</v>
      </c>
      <c r="C53" s="14" t="s">
        <v>42</v>
      </c>
      <c r="D53" s="14" t="s">
        <v>13</v>
      </c>
      <c r="E53" s="14" t="s">
        <v>63</v>
      </c>
      <c r="F53" s="14" t="s">
        <v>64</v>
      </c>
      <c r="G53" s="14" t="s">
        <v>165</v>
      </c>
      <c r="H53" s="14" t="s">
        <v>17</v>
      </c>
      <c r="I53" s="14" t="s">
        <v>249</v>
      </c>
      <c r="J53" s="14" t="s">
        <v>250</v>
      </c>
    </row>
    <row r="54" spans="1:10" ht="15" customHeight="1" x14ac:dyDescent="0.35">
      <c r="A54" s="13" t="s">
        <v>251</v>
      </c>
      <c r="B54" s="13" t="s">
        <v>252</v>
      </c>
      <c r="C54" s="13" t="s">
        <v>12</v>
      </c>
      <c r="D54" s="13" t="s">
        <v>33</v>
      </c>
      <c r="E54" s="13" t="s">
        <v>34</v>
      </c>
      <c r="F54" s="13" t="s">
        <v>35</v>
      </c>
      <c r="G54" s="13" t="s">
        <v>253</v>
      </c>
      <c r="H54" s="13" t="s">
        <v>37</v>
      </c>
      <c r="I54" s="13" t="s">
        <v>254</v>
      </c>
      <c r="J54" s="13" t="s">
        <v>255</v>
      </c>
    </row>
    <row r="55" spans="1:10" ht="15" customHeight="1" x14ac:dyDescent="0.35">
      <c r="A55" s="14" t="s">
        <v>256</v>
      </c>
      <c r="B55" s="14" t="s">
        <v>257</v>
      </c>
      <c r="C55" s="14" t="s">
        <v>22</v>
      </c>
      <c r="D55" s="14" t="s">
        <v>23</v>
      </c>
      <c r="E55" s="14" t="s">
        <v>50</v>
      </c>
      <c r="F55" s="14" t="s">
        <v>51</v>
      </c>
      <c r="G55" s="14" t="s">
        <v>258</v>
      </c>
      <c r="H55" s="14" t="s">
        <v>27</v>
      </c>
      <c r="I55" s="14" t="s">
        <v>259</v>
      </c>
      <c r="J55" s="14" t="s">
        <v>260</v>
      </c>
    </row>
    <row r="56" spans="1:10" ht="15" customHeight="1" x14ac:dyDescent="0.35">
      <c r="A56" s="13" t="s">
        <v>261</v>
      </c>
      <c r="B56" s="13" t="s">
        <v>262</v>
      </c>
      <c r="C56" s="13" t="s">
        <v>32</v>
      </c>
      <c r="D56" s="13" t="s">
        <v>13</v>
      </c>
      <c r="E56" s="13" t="s">
        <v>83</v>
      </c>
      <c r="F56" s="13" t="s">
        <v>84</v>
      </c>
      <c r="G56" s="13" t="s">
        <v>147</v>
      </c>
      <c r="H56" s="13" t="s">
        <v>37</v>
      </c>
      <c r="I56" s="13" t="s">
        <v>263</v>
      </c>
      <c r="J56" s="13" t="s">
        <v>264</v>
      </c>
    </row>
    <row r="57" spans="1:10" ht="15" customHeight="1" x14ac:dyDescent="0.35">
      <c r="A57" s="14" t="s">
        <v>265</v>
      </c>
      <c r="B57" s="14" t="s">
        <v>266</v>
      </c>
      <c r="C57" s="14" t="s">
        <v>42</v>
      </c>
      <c r="D57" s="14" t="s">
        <v>33</v>
      </c>
      <c r="E57" s="14" t="s">
        <v>57</v>
      </c>
      <c r="F57" s="14" t="s">
        <v>58</v>
      </c>
      <c r="G57" s="14" t="s">
        <v>65</v>
      </c>
      <c r="H57" s="14" t="s">
        <v>17</v>
      </c>
      <c r="I57" s="14" t="s">
        <v>267</v>
      </c>
      <c r="J57" s="14" t="s">
        <v>268</v>
      </c>
    </row>
    <row r="58" spans="1:10" ht="15" customHeight="1" x14ac:dyDescent="0.35">
      <c r="A58" s="13" t="s">
        <v>269</v>
      </c>
      <c r="B58" s="13" t="s">
        <v>270</v>
      </c>
      <c r="C58" s="13" t="s">
        <v>12</v>
      </c>
      <c r="D58" s="13" t="s">
        <v>23</v>
      </c>
      <c r="E58" s="13" t="s">
        <v>24</v>
      </c>
      <c r="F58" s="13" t="s">
        <v>25</v>
      </c>
      <c r="G58" s="13" t="s">
        <v>52</v>
      </c>
      <c r="H58" s="13" t="s">
        <v>17</v>
      </c>
      <c r="I58" s="13" t="s">
        <v>271</v>
      </c>
      <c r="J58" s="13" t="s">
        <v>272</v>
      </c>
    </row>
    <row r="59" spans="1:10" ht="15" customHeight="1" x14ac:dyDescent="0.35">
      <c r="A59" s="14" t="s">
        <v>273</v>
      </c>
      <c r="B59" s="14" t="s">
        <v>274</v>
      </c>
      <c r="C59" s="14" t="s">
        <v>22</v>
      </c>
      <c r="D59" s="14" t="s">
        <v>13</v>
      </c>
      <c r="E59" s="14" t="s">
        <v>14</v>
      </c>
      <c r="F59" s="14" t="s">
        <v>15</v>
      </c>
      <c r="G59" s="14" t="s">
        <v>45</v>
      </c>
      <c r="H59" s="14" t="s">
        <v>27</v>
      </c>
      <c r="I59" s="14" t="s">
        <v>185</v>
      </c>
      <c r="J59" s="14" t="s">
        <v>186</v>
      </c>
    </row>
    <row r="60" spans="1:10" ht="15" customHeight="1" x14ac:dyDescent="0.35">
      <c r="A60" s="13" t="s">
        <v>275</v>
      </c>
      <c r="B60" s="13" t="s">
        <v>276</v>
      </c>
      <c r="C60" s="13" t="s">
        <v>32</v>
      </c>
      <c r="D60" s="13" t="s">
        <v>33</v>
      </c>
      <c r="E60" s="13" t="s">
        <v>77</v>
      </c>
      <c r="F60" s="13" t="s">
        <v>78</v>
      </c>
      <c r="G60" s="13" t="s">
        <v>165</v>
      </c>
      <c r="H60" s="13" t="s">
        <v>37</v>
      </c>
      <c r="I60" s="13" t="s">
        <v>277</v>
      </c>
      <c r="J60" s="13" t="s">
        <v>264</v>
      </c>
    </row>
    <row r="61" spans="1:10" ht="15" customHeight="1" x14ac:dyDescent="0.35">
      <c r="A61" s="14" t="s">
        <v>278</v>
      </c>
      <c r="B61" s="14" t="s">
        <v>279</v>
      </c>
      <c r="C61" s="14" t="s">
        <v>42</v>
      </c>
      <c r="D61" s="14" t="s">
        <v>23</v>
      </c>
      <c r="E61" s="14" t="s">
        <v>70</v>
      </c>
      <c r="F61" s="14" t="s">
        <v>71</v>
      </c>
      <c r="G61" s="14" t="s">
        <v>123</v>
      </c>
      <c r="H61" s="14" t="s">
        <v>37</v>
      </c>
      <c r="I61" s="14" t="s">
        <v>280</v>
      </c>
      <c r="J61" s="14" t="s">
        <v>39</v>
      </c>
    </row>
    <row r="62" spans="1:10" ht="15" customHeight="1" x14ac:dyDescent="0.35">
      <c r="A62" s="13" t="s">
        <v>281</v>
      </c>
      <c r="B62" s="13" t="s">
        <v>282</v>
      </c>
      <c r="C62" s="13" t="s">
        <v>12</v>
      </c>
      <c r="D62" s="13" t="s">
        <v>13</v>
      </c>
      <c r="E62" s="13" t="s">
        <v>43</v>
      </c>
      <c r="F62" s="13" t="s">
        <v>44</v>
      </c>
      <c r="G62" s="13" t="s">
        <v>36</v>
      </c>
      <c r="H62" s="13" t="s">
        <v>17</v>
      </c>
      <c r="I62" s="13" t="s">
        <v>152</v>
      </c>
      <c r="J62" s="13" t="s">
        <v>153</v>
      </c>
    </row>
    <row r="63" spans="1:10" ht="15" customHeight="1" x14ac:dyDescent="0.35">
      <c r="A63" s="14" t="s">
        <v>283</v>
      </c>
      <c r="B63" s="14" t="s">
        <v>284</v>
      </c>
      <c r="C63" s="14" t="s">
        <v>22</v>
      </c>
      <c r="D63" s="14" t="s">
        <v>33</v>
      </c>
      <c r="E63" s="14" t="s">
        <v>99</v>
      </c>
      <c r="F63" s="14" t="s">
        <v>73</v>
      </c>
      <c r="G63" s="14" t="s">
        <v>45</v>
      </c>
      <c r="H63" s="14" t="s">
        <v>37</v>
      </c>
      <c r="I63" s="14" t="s">
        <v>285</v>
      </c>
      <c r="J63" s="14" t="s">
        <v>286</v>
      </c>
    </row>
    <row r="64" spans="1:10" ht="15" customHeight="1" x14ac:dyDescent="0.35">
      <c r="A64" s="13" t="s">
        <v>287</v>
      </c>
      <c r="B64" s="13" t="s">
        <v>288</v>
      </c>
      <c r="C64" s="13" t="s">
        <v>32</v>
      </c>
      <c r="D64" s="13" t="s">
        <v>23</v>
      </c>
      <c r="E64" s="13" t="s">
        <v>108</v>
      </c>
      <c r="F64" s="13" t="s">
        <v>109</v>
      </c>
      <c r="G64" s="13" t="s">
        <v>180</v>
      </c>
      <c r="H64" s="13" t="s">
        <v>27</v>
      </c>
      <c r="I64" s="13" t="s">
        <v>199</v>
      </c>
      <c r="J64" s="13" t="s">
        <v>140</v>
      </c>
    </row>
    <row r="65" spans="1:10" ht="15" customHeight="1" x14ac:dyDescent="0.35">
      <c r="A65" s="14" t="s">
        <v>289</v>
      </c>
      <c r="B65" s="14" t="s">
        <v>290</v>
      </c>
      <c r="C65" s="14" t="s">
        <v>42</v>
      </c>
      <c r="D65" s="14" t="s">
        <v>13</v>
      </c>
      <c r="E65" s="14" t="s">
        <v>63</v>
      </c>
      <c r="F65" s="14" t="s">
        <v>64</v>
      </c>
      <c r="G65" s="14" t="s">
        <v>85</v>
      </c>
      <c r="H65" s="14" t="s">
        <v>17</v>
      </c>
      <c r="I65" s="14" t="s">
        <v>291</v>
      </c>
      <c r="J65" s="14" t="s">
        <v>91</v>
      </c>
    </row>
    <row r="66" spans="1:10" ht="15" customHeight="1" x14ac:dyDescent="0.35">
      <c r="A66" s="13" t="s">
        <v>292</v>
      </c>
      <c r="B66" s="13" t="s">
        <v>293</v>
      </c>
      <c r="C66" s="13" t="s">
        <v>12</v>
      </c>
      <c r="D66" s="13" t="s">
        <v>33</v>
      </c>
      <c r="E66" s="13" t="s">
        <v>34</v>
      </c>
      <c r="F66" s="13" t="s">
        <v>35</v>
      </c>
      <c r="G66" s="13" t="s">
        <v>26</v>
      </c>
      <c r="H66" s="13" t="s">
        <v>37</v>
      </c>
      <c r="I66" s="13" t="s">
        <v>294</v>
      </c>
      <c r="J66" s="13" t="s">
        <v>78</v>
      </c>
    </row>
    <row r="67" spans="1:10" ht="15" customHeight="1" x14ac:dyDescent="0.35">
      <c r="A67" s="14" t="s">
        <v>295</v>
      </c>
      <c r="B67" s="14" t="s">
        <v>296</v>
      </c>
      <c r="C67" s="14" t="s">
        <v>22</v>
      </c>
      <c r="D67" s="14" t="s">
        <v>23</v>
      </c>
      <c r="E67" s="14" t="s">
        <v>50</v>
      </c>
      <c r="F67" s="14" t="s">
        <v>51</v>
      </c>
      <c r="G67" s="14" t="s">
        <v>297</v>
      </c>
      <c r="H67" s="14" t="s">
        <v>27</v>
      </c>
      <c r="I67" s="14" t="s">
        <v>100</v>
      </c>
      <c r="J67" s="14" t="s">
        <v>298</v>
      </c>
    </row>
    <row r="68" spans="1:10" ht="15" customHeight="1" x14ac:dyDescent="0.35">
      <c r="A68" s="13" t="s">
        <v>299</v>
      </c>
      <c r="B68" s="13" t="s">
        <v>300</v>
      </c>
      <c r="C68" s="13" t="s">
        <v>32</v>
      </c>
      <c r="D68" s="13" t="s">
        <v>13</v>
      </c>
      <c r="E68" s="13" t="s">
        <v>83</v>
      </c>
      <c r="F68" s="13" t="s">
        <v>84</v>
      </c>
      <c r="G68" s="13" t="s">
        <v>52</v>
      </c>
      <c r="H68" s="13" t="s">
        <v>37</v>
      </c>
      <c r="I68" s="13" t="s">
        <v>301</v>
      </c>
      <c r="J68" s="13" t="s">
        <v>302</v>
      </c>
    </row>
    <row r="69" spans="1:10" ht="15" customHeight="1" x14ac:dyDescent="0.35">
      <c r="A69" s="14" t="s">
        <v>303</v>
      </c>
      <c r="B69" s="14" t="s">
        <v>304</v>
      </c>
      <c r="C69" s="14" t="s">
        <v>42</v>
      </c>
      <c r="D69" s="14" t="s">
        <v>33</v>
      </c>
      <c r="E69" s="14" t="s">
        <v>57</v>
      </c>
      <c r="F69" s="14" t="s">
        <v>58</v>
      </c>
      <c r="G69" s="14" t="s">
        <v>36</v>
      </c>
      <c r="H69" s="14" t="s">
        <v>17</v>
      </c>
      <c r="I69" s="14" t="s">
        <v>305</v>
      </c>
      <c r="J69" s="14" t="s">
        <v>306</v>
      </c>
    </row>
    <row r="70" spans="1:10" ht="15" customHeight="1" x14ac:dyDescent="0.35">
      <c r="A70" s="13" t="s">
        <v>307</v>
      </c>
      <c r="B70" s="13" t="s">
        <v>308</v>
      </c>
      <c r="C70" s="13" t="s">
        <v>12</v>
      </c>
      <c r="D70" s="13" t="s">
        <v>23</v>
      </c>
      <c r="E70" s="13" t="s">
        <v>24</v>
      </c>
      <c r="F70" s="13" t="s">
        <v>25</v>
      </c>
      <c r="G70" s="13" t="s">
        <v>236</v>
      </c>
      <c r="H70" s="13" t="s">
        <v>17</v>
      </c>
      <c r="I70" s="13" t="s">
        <v>309</v>
      </c>
      <c r="J70" s="13" t="s">
        <v>177</v>
      </c>
    </row>
    <row r="71" spans="1:10" ht="15" customHeight="1" x14ac:dyDescent="0.35">
      <c r="A71" s="14" t="s">
        <v>310</v>
      </c>
      <c r="B71" s="14" t="s">
        <v>311</v>
      </c>
      <c r="C71" s="14" t="s">
        <v>22</v>
      </c>
      <c r="D71" s="14" t="s">
        <v>13</v>
      </c>
      <c r="E71" s="14" t="s">
        <v>14</v>
      </c>
      <c r="F71" s="14" t="s">
        <v>15</v>
      </c>
      <c r="G71" s="14" t="s">
        <v>65</v>
      </c>
      <c r="H71" s="14" t="s">
        <v>27</v>
      </c>
      <c r="I71" s="14" t="s">
        <v>312</v>
      </c>
      <c r="J71" s="14" t="s">
        <v>313</v>
      </c>
    </row>
    <row r="72" spans="1:10" ht="15" customHeight="1" x14ac:dyDescent="0.35">
      <c r="A72" s="13" t="s">
        <v>314</v>
      </c>
      <c r="B72" s="13" t="s">
        <v>315</v>
      </c>
      <c r="C72" s="13" t="s">
        <v>32</v>
      </c>
      <c r="D72" s="13" t="s">
        <v>33</v>
      </c>
      <c r="E72" s="13" t="s">
        <v>77</v>
      </c>
      <c r="F72" s="13" t="s">
        <v>78</v>
      </c>
      <c r="G72" s="13" t="s">
        <v>85</v>
      </c>
      <c r="H72" s="13" t="s">
        <v>37</v>
      </c>
      <c r="I72" s="13" t="s">
        <v>316</v>
      </c>
      <c r="J72" s="13" t="s">
        <v>317</v>
      </c>
    </row>
    <row r="73" spans="1:10" ht="15" customHeight="1" x14ac:dyDescent="0.35">
      <c r="A73" s="14" t="s">
        <v>318</v>
      </c>
      <c r="B73" s="14" t="s">
        <v>319</v>
      </c>
      <c r="C73" s="14" t="s">
        <v>42</v>
      </c>
      <c r="D73" s="14" t="s">
        <v>23</v>
      </c>
      <c r="E73" s="14" t="s">
        <v>70</v>
      </c>
      <c r="F73" s="14" t="s">
        <v>71</v>
      </c>
      <c r="G73" s="14" t="s">
        <v>320</v>
      </c>
      <c r="H73" s="14" t="s">
        <v>37</v>
      </c>
      <c r="I73" s="14" t="s">
        <v>321</v>
      </c>
      <c r="J73" s="14" t="s">
        <v>322</v>
      </c>
    </row>
    <row r="74" spans="1:10" ht="15" customHeight="1" x14ac:dyDescent="0.35">
      <c r="A74" s="13" t="s">
        <v>323</v>
      </c>
      <c r="B74" s="13" t="s">
        <v>324</v>
      </c>
      <c r="C74" s="13" t="s">
        <v>12</v>
      </c>
      <c r="D74" s="13" t="s">
        <v>13</v>
      </c>
      <c r="E74" s="13" t="s">
        <v>43</v>
      </c>
      <c r="F74" s="13" t="s">
        <v>44</v>
      </c>
      <c r="G74" s="13" t="s">
        <v>165</v>
      </c>
      <c r="H74" s="13" t="s">
        <v>17</v>
      </c>
      <c r="I74" s="13" t="s">
        <v>325</v>
      </c>
      <c r="J74" s="13" t="s">
        <v>326</v>
      </c>
    </row>
    <row r="75" spans="1:10" ht="15" customHeight="1" x14ac:dyDescent="0.35">
      <c r="A75" s="14" t="s">
        <v>327</v>
      </c>
      <c r="B75" s="14" t="s">
        <v>328</v>
      </c>
      <c r="C75" s="14" t="s">
        <v>22</v>
      </c>
      <c r="D75" s="14" t="s">
        <v>33</v>
      </c>
      <c r="E75" s="14" t="s">
        <v>99</v>
      </c>
      <c r="F75" s="14" t="s">
        <v>73</v>
      </c>
      <c r="G75" s="14" t="s">
        <v>36</v>
      </c>
      <c r="H75" s="14" t="s">
        <v>27</v>
      </c>
      <c r="I75" s="14" t="s">
        <v>329</v>
      </c>
      <c r="J75" s="14" t="s">
        <v>330</v>
      </c>
    </row>
    <row r="76" spans="1:10" ht="15" customHeight="1" x14ac:dyDescent="0.35">
      <c r="A76" s="13" t="s">
        <v>331</v>
      </c>
      <c r="B76" s="13" t="s">
        <v>332</v>
      </c>
      <c r="C76" s="13" t="s">
        <v>32</v>
      </c>
      <c r="D76" s="13" t="s">
        <v>23</v>
      </c>
      <c r="E76" s="13" t="s">
        <v>108</v>
      </c>
      <c r="F76" s="13" t="s">
        <v>109</v>
      </c>
      <c r="G76" s="13" t="s">
        <v>147</v>
      </c>
      <c r="H76" s="13" t="s">
        <v>37</v>
      </c>
      <c r="I76" s="13" t="s">
        <v>119</v>
      </c>
      <c r="J76" s="13" t="s">
        <v>190</v>
      </c>
    </row>
    <row r="77" spans="1:10" ht="15" customHeight="1" x14ac:dyDescent="0.35">
      <c r="A77" s="14" t="s">
        <v>333</v>
      </c>
      <c r="B77" s="14" t="s">
        <v>334</v>
      </c>
      <c r="C77" s="14" t="s">
        <v>42</v>
      </c>
      <c r="D77" s="14" t="s">
        <v>13</v>
      </c>
      <c r="E77" s="14" t="s">
        <v>63</v>
      </c>
      <c r="F77" s="14" t="s">
        <v>64</v>
      </c>
      <c r="G77" s="14" t="s">
        <v>253</v>
      </c>
      <c r="H77" s="14" t="s">
        <v>17</v>
      </c>
      <c r="I77" s="14" t="s">
        <v>335</v>
      </c>
      <c r="J77" s="14" t="s">
        <v>336</v>
      </c>
    </row>
    <row r="78" spans="1:10" ht="15" customHeight="1" x14ac:dyDescent="0.35">
      <c r="A78" s="13" t="s">
        <v>337</v>
      </c>
      <c r="B78" s="13" t="s">
        <v>338</v>
      </c>
      <c r="C78" s="13" t="s">
        <v>12</v>
      </c>
      <c r="D78" s="13" t="s">
        <v>33</v>
      </c>
      <c r="E78" s="13" t="s">
        <v>34</v>
      </c>
      <c r="F78" s="13" t="s">
        <v>35</v>
      </c>
      <c r="G78" s="13" t="s">
        <v>339</v>
      </c>
      <c r="H78" s="13" t="s">
        <v>37</v>
      </c>
      <c r="I78" s="13" t="s">
        <v>340</v>
      </c>
      <c r="J78" s="13" t="s">
        <v>341</v>
      </c>
    </row>
    <row r="79" spans="1:10" ht="15" customHeight="1" x14ac:dyDescent="0.35">
      <c r="A79" s="14" t="s">
        <v>342</v>
      </c>
      <c r="B79" s="14" t="s">
        <v>343</v>
      </c>
      <c r="C79" s="14" t="s">
        <v>22</v>
      </c>
      <c r="D79" s="14" t="s">
        <v>23</v>
      </c>
      <c r="E79" s="14" t="s">
        <v>50</v>
      </c>
      <c r="F79" s="14" t="s">
        <v>51</v>
      </c>
      <c r="G79" s="14" t="s">
        <v>344</v>
      </c>
      <c r="H79" s="14" t="s">
        <v>27</v>
      </c>
      <c r="I79" s="14" t="s">
        <v>199</v>
      </c>
      <c r="J79" s="14" t="s">
        <v>140</v>
      </c>
    </row>
    <row r="80" spans="1:10" ht="15" customHeight="1" x14ac:dyDescent="0.35">
      <c r="A80" s="13" t="s">
        <v>345</v>
      </c>
      <c r="B80" s="13" t="s">
        <v>346</v>
      </c>
      <c r="C80" s="13" t="s">
        <v>32</v>
      </c>
      <c r="D80" s="13" t="s">
        <v>13</v>
      </c>
      <c r="E80" s="13" t="s">
        <v>83</v>
      </c>
      <c r="F80" s="13" t="s">
        <v>84</v>
      </c>
      <c r="G80" s="13" t="s">
        <v>236</v>
      </c>
      <c r="H80" s="13" t="s">
        <v>37</v>
      </c>
      <c r="I80" s="13" t="s">
        <v>347</v>
      </c>
      <c r="J80" s="13" t="s">
        <v>348</v>
      </c>
    </row>
    <row r="81" spans="1:10" ht="15" customHeight="1" x14ac:dyDescent="0.35">
      <c r="A81" s="14" t="s">
        <v>349</v>
      </c>
      <c r="B81" s="14" t="s">
        <v>350</v>
      </c>
      <c r="C81" s="14" t="s">
        <v>42</v>
      </c>
      <c r="D81" s="14" t="s">
        <v>33</v>
      </c>
      <c r="E81" s="14" t="s">
        <v>57</v>
      </c>
      <c r="F81" s="14" t="s">
        <v>58</v>
      </c>
      <c r="G81" s="14" t="s">
        <v>114</v>
      </c>
      <c r="H81" s="14" t="s">
        <v>17</v>
      </c>
      <c r="I81" s="14" t="s">
        <v>351</v>
      </c>
      <c r="J81" s="14" t="s">
        <v>352</v>
      </c>
    </row>
    <row r="82" spans="1:10" ht="15" customHeight="1" x14ac:dyDescent="0.35">
      <c r="A82" s="13" t="s">
        <v>353</v>
      </c>
      <c r="B82" s="13" t="s">
        <v>354</v>
      </c>
      <c r="C82" s="13" t="s">
        <v>12</v>
      </c>
      <c r="D82" s="13" t="s">
        <v>23</v>
      </c>
      <c r="E82" s="13" t="s">
        <v>24</v>
      </c>
      <c r="F82" s="13" t="s">
        <v>25</v>
      </c>
      <c r="G82" s="13" t="s">
        <v>355</v>
      </c>
      <c r="H82" s="13" t="s">
        <v>17</v>
      </c>
      <c r="I82" s="13" t="s">
        <v>79</v>
      </c>
      <c r="J82" s="13" t="s">
        <v>116</v>
      </c>
    </row>
    <row r="83" spans="1:10" ht="15" customHeight="1" x14ac:dyDescent="0.35">
      <c r="A83" s="14" t="s">
        <v>356</v>
      </c>
      <c r="B83" s="14" t="s">
        <v>357</v>
      </c>
      <c r="C83" s="14" t="s">
        <v>22</v>
      </c>
      <c r="D83" s="14" t="s">
        <v>13</v>
      </c>
      <c r="E83" s="14" t="s">
        <v>14</v>
      </c>
      <c r="F83" s="14" t="s">
        <v>15</v>
      </c>
      <c r="G83" s="14" t="s">
        <v>45</v>
      </c>
      <c r="H83" s="14" t="s">
        <v>37</v>
      </c>
      <c r="I83" s="14" t="s">
        <v>358</v>
      </c>
      <c r="J83" s="14" t="s">
        <v>359</v>
      </c>
    </row>
    <row r="84" spans="1:10" ht="15" customHeight="1" x14ac:dyDescent="0.35">
      <c r="A84" s="13" t="s">
        <v>360</v>
      </c>
      <c r="B84" s="13" t="s">
        <v>361</v>
      </c>
      <c r="C84" s="13" t="s">
        <v>32</v>
      </c>
      <c r="D84" s="13" t="s">
        <v>33</v>
      </c>
      <c r="E84" s="13" t="s">
        <v>77</v>
      </c>
      <c r="F84" s="13" t="s">
        <v>78</v>
      </c>
      <c r="G84" s="13" t="s">
        <v>253</v>
      </c>
      <c r="H84" s="13" t="s">
        <v>27</v>
      </c>
      <c r="I84" s="13" t="s">
        <v>362</v>
      </c>
      <c r="J84" s="13" t="s">
        <v>363</v>
      </c>
    </row>
    <row r="85" spans="1:10" ht="15" customHeight="1" x14ac:dyDescent="0.35">
      <c r="A85" s="14" t="s">
        <v>364</v>
      </c>
      <c r="B85" s="14" t="s">
        <v>365</v>
      </c>
      <c r="C85" s="14" t="s">
        <v>42</v>
      </c>
      <c r="D85" s="14" t="s">
        <v>23</v>
      </c>
      <c r="E85" s="14" t="s">
        <v>70</v>
      </c>
      <c r="F85" s="14" t="s">
        <v>71</v>
      </c>
      <c r="G85" s="14" t="s">
        <v>170</v>
      </c>
      <c r="H85" s="14" t="s">
        <v>37</v>
      </c>
      <c r="I85" s="14" t="s">
        <v>199</v>
      </c>
      <c r="J85" s="14" t="s">
        <v>140</v>
      </c>
    </row>
    <row r="86" spans="1:10" ht="15" customHeight="1" x14ac:dyDescent="0.35">
      <c r="A86" s="13" t="s">
        <v>366</v>
      </c>
      <c r="B86" s="13" t="s">
        <v>367</v>
      </c>
      <c r="C86" s="13" t="s">
        <v>12</v>
      </c>
      <c r="D86" s="13" t="s">
        <v>13</v>
      </c>
      <c r="E86" s="13" t="s">
        <v>43</v>
      </c>
      <c r="F86" s="13" t="s">
        <v>44</v>
      </c>
      <c r="G86" s="13" t="s">
        <v>114</v>
      </c>
      <c r="H86" s="13" t="s">
        <v>17</v>
      </c>
      <c r="I86" s="13" t="s">
        <v>241</v>
      </c>
      <c r="J86" s="13" t="s">
        <v>242</v>
      </c>
    </row>
    <row r="87" spans="1:10" ht="15" customHeight="1" x14ac:dyDescent="0.35">
      <c r="A87" s="14" t="s">
        <v>368</v>
      </c>
      <c r="B87" s="14" t="s">
        <v>369</v>
      </c>
      <c r="C87" s="14" t="s">
        <v>22</v>
      </c>
      <c r="D87" s="14" t="s">
        <v>33</v>
      </c>
      <c r="E87" s="14" t="s">
        <v>99</v>
      </c>
      <c r="F87" s="14" t="s">
        <v>73</v>
      </c>
      <c r="G87" s="14" t="s">
        <v>65</v>
      </c>
      <c r="H87" s="14" t="s">
        <v>37</v>
      </c>
      <c r="I87" s="14" t="s">
        <v>254</v>
      </c>
      <c r="J87" s="14" t="s">
        <v>255</v>
      </c>
    </row>
    <row r="88" spans="1:10" ht="15" customHeight="1" x14ac:dyDescent="0.35">
      <c r="A88" s="13" t="s">
        <v>370</v>
      </c>
      <c r="B88" s="13" t="s">
        <v>371</v>
      </c>
      <c r="C88" s="13" t="s">
        <v>32</v>
      </c>
      <c r="D88" s="13" t="s">
        <v>23</v>
      </c>
      <c r="E88" s="13" t="s">
        <v>108</v>
      </c>
      <c r="F88" s="13" t="s">
        <v>109</v>
      </c>
      <c r="G88" s="13" t="s">
        <v>52</v>
      </c>
      <c r="H88" s="13" t="s">
        <v>27</v>
      </c>
      <c r="I88" s="13" t="s">
        <v>119</v>
      </c>
      <c r="J88" s="13" t="s">
        <v>190</v>
      </c>
    </row>
    <row r="89" spans="1:10" ht="15" customHeight="1" x14ac:dyDescent="0.35">
      <c r="A89" s="14" t="s">
        <v>372</v>
      </c>
      <c r="B89" s="14" t="s">
        <v>373</v>
      </c>
      <c r="C89" s="14" t="s">
        <v>42</v>
      </c>
      <c r="D89" s="14" t="s">
        <v>13</v>
      </c>
      <c r="E89" s="14" t="s">
        <v>63</v>
      </c>
      <c r="F89" s="14" t="s">
        <v>64</v>
      </c>
      <c r="G89" s="14" t="s">
        <v>26</v>
      </c>
      <c r="H89" s="14" t="s">
        <v>17</v>
      </c>
      <c r="I89" s="14" t="s">
        <v>241</v>
      </c>
      <c r="J89" s="14" t="s">
        <v>242</v>
      </c>
    </row>
    <row r="90" spans="1:10" ht="15" customHeight="1" x14ac:dyDescent="0.35">
      <c r="A90" s="13" t="s">
        <v>374</v>
      </c>
      <c r="B90" s="13" t="s">
        <v>375</v>
      </c>
      <c r="C90" s="13" t="s">
        <v>12</v>
      </c>
      <c r="D90" s="13" t="s">
        <v>33</v>
      </c>
      <c r="E90" s="13" t="s">
        <v>34</v>
      </c>
      <c r="F90" s="13" t="s">
        <v>35</v>
      </c>
      <c r="G90" s="13" t="s">
        <v>90</v>
      </c>
      <c r="H90" s="13" t="s">
        <v>37</v>
      </c>
      <c r="I90" s="13" t="s">
        <v>316</v>
      </c>
      <c r="J90" s="13" t="s">
        <v>317</v>
      </c>
    </row>
    <row r="91" spans="1:10" ht="15" customHeight="1" x14ac:dyDescent="0.35">
      <c r="A91" s="14" t="s">
        <v>376</v>
      </c>
      <c r="B91" s="14" t="s">
        <v>377</v>
      </c>
      <c r="C91" s="14" t="s">
        <v>22</v>
      </c>
      <c r="D91" s="14" t="s">
        <v>23</v>
      </c>
      <c r="E91" s="14" t="s">
        <v>50</v>
      </c>
      <c r="F91" s="14" t="s">
        <v>51</v>
      </c>
      <c r="G91" s="14" t="s">
        <v>378</v>
      </c>
      <c r="H91" s="14" t="s">
        <v>27</v>
      </c>
      <c r="I91" s="14" t="s">
        <v>59</v>
      </c>
      <c r="J91" s="14" t="s">
        <v>379</v>
      </c>
    </row>
    <row r="92" spans="1:10" ht="15" customHeight="1" x14ac:dyDescent="0.35">
      <c r="A92" s="13" t="s">
        <v>380</v>
      </c>
      <c r="B92" s="13" t="s">
        <v>381</v>
      </c>
      <c r="C92" s="13" t="s">
        <v>32</v>
      </c>
      <c r="D92" s="13" t="s">
        <v>13</v>
      </c>
      <c r="E92" s="13" t="s">
        <v>83</v>
      </c>
      <c r="F92" s="13" t="s">
        <v>84</v>
      </c>
      <c r="G92" s="13" t="s">
        <v>123</v>
      </c>
      <c r="H92" s="13" t="s">
        <v>37</v>
      </c>
      <c r="I92" s="13" t="s">
        <v>382</v>
      </c>
      <c r="J92" s="13" t="s">
        <v>383</v>
      </c>
    </row>
    <row r="93" spans="1:10" ht="15" customHeight="1" x14ac:dyDescent="0.35">
      <c r="A93" s="14" t="s">
        <v>384</v>
      </c>
      <c r="B93" s="14" t="s">
        <v>385</v>
      </c>
      <c r="C93" s="14" t="s">
        <v>42</v>
      </c>
      <c r="D93" s="14" t="s">
        <v>33</v>
      </c>
      <c r="E93" s="14" t="s">
        <v>57</v>
      </c>
      <c r="F93" s="14" t="s">
        <v>58</v>
      </c>
      <c r="G93" s="14" t="s">
        <v>36</v>
      </c>
      <c r="H93" s="14" t="s">
        <v>17</v>
      </c>
      <c r="I93" s="14" t="s">
        <v>305</v>
      </c>
      <c r="J93" s="14" t="s">
        <v>306</v>
      </c>
    </row>
    <row r="94" spans="1:10" ht="15" customHeight="1" x14ac:dyDescent="0.35">
      <c r="A94" s="13" t="s">
        <v>386</v>
      </c>
      <c r="B94" s="13" t="s">
        <v>387</v>
      </c>
      <c r="C94" s="13" t="s">
        <v>12</v>
      </c>
      <c r="D94" s="13" t="s">
        <v>23</v>
      </c>
      <c r="E94" s="13" t="s">
        <v>24</v>
      </c>
      <c r="F94" s="13" t="s">
        <v>25</v>
      </c>
      <c r="G94" s="13" t="s">
        <v>388</v>
      </c>
      <c r="H94" s="13" t="s">
        <v>17</v>
      </c>
      <c r="I94" s="13" t="s">
        <v>389</v>
      </c>
      <c r="J94" s="13" t="s">
        <v>390</v>
      </c>
    </row>
    <row r="95" spans="1:10" ht="15" customHeight="1" x14ac:dyDescent="0.35">
      <c r="A95" s="14" t="s">
        <v>391</v>
      </c>
      <c r="B95" s="14" t="s">
        <v>392</v>
      </c>
      <c r="C95" s="14" t="s">
        <v>22</v>
      </c>
      <c r="D95" s="14" t="s">
        <v>13</v>
      </c>
      <c r="E95" s="14" t="s">
        <v>14</v>
      </c>
      <c r="F95" s="14" t="s">
        <v>15</v>
      </c>
      <c r="G95" s="14" t="s">
        <v>65</v>
      </c>
      <c r="H95" s="14" t="s">
        <v>27</v>
      </c>
      <c r="I95" s="14" t="s">
        <v>312</v>
      </c>
      <c r="J95" s="14" t="s">
        <v>313</v>
      </c>
    </row>
    <row r="96" spans="1:10" ht="15" customHeight="1" x14ac:dyDescent="0.35">
      <c r="A96" s="13" t="s">
        <v>393</v>
      </c>
      <c r="B96" s="13" t="s">
        <v>394</v>
      </c>
      <c r="C96" s="13" t="s">
        <v>32</v>
      </c>
      <c r="D96" s="13" t="s">
        <v>33</v>
      </c>
      <c r="E96" s="13" t="s">
        <v>77</v>
      </c>
      <c r="F96" s="13" t="s">
        <v>78</v>
      </c>
      <c r="G96" s="13" t="s">
        <v>26</v>
      </c>
      <c r="H96" s="13" t="s">
        <v>37</v>
      </c>
      <c r="I96" s="13" t="s">
        <v>395</v>
      </c>
      <c r="J96" s="13" t="s">
        <v>73</v>
      </c>
    </row>
    <row r="97" spans="1:10" ht="15" customHeight="1" x14ac:dyDescent="0.35">
      <c r="A97" s="14" t="s">
        <v>396</v>
      </c>
      <c r="B97" s="14" t="s">
        <v>397</v>
      </c>
      <c r="C97" s="14" t="s">
        <v>42</v>
      </c>
      <c r="D97" s="14" t="s">
        <v>23</v>
      </c>
      <c r="E97" s="14" t="s">
        <v>70</v>
      </c>
      <c r="F97" s="14" t="s">
        <v>71</v>
      </c>
      <c r="G97" s="14" t="s">
        <v>398</v>
      </c>
      <c r="H97" s="14" t="s">
        <v>37</v>
      </c>
      <c r="I97" s="14" t="s">
        <v>399</v>
      </c>
      <c r="J97" s="14" t="s">
        <v>400</v>
      </c>
    </row>
    <row r="98" spans="1:10" ht="15" customHeight="1" x14ac:dyDescent="0.35">
      <c r="A98" s="13" t="s">
        <v>401</v>
      </c>
      <c r="B98" s="13" t="s">
        <v>402</v>
      </c>
      <c r="C98" s="13" t="s">
        <v>12</v>
      </c>
      <c r="D98" s="13" t="s">
        <v>13</v>
      </c>
      <c r="E98" s="13" t="s">
        <v>43</v>
      </c>
      <c r="F98" s="13" t="s">
        <v>44</v>
      </c>
      <c r="G98" s="13" t="s">
        <v>85</v>
      </c>
      <c r="H98" s="13" t="s">
        <v>17</v>
      </c>
      <c r="I98" s="13" t="s">
        <v>403</v>
      </c>
      <c r="J98" s="13" t="s">
        <v>271</v>
      </c>
    </row>
    <row r="99" spans="1:10" ht="15" customHeight="1" x14ac:dyDescent="0.35">
      <c r="A99" s="14" t="s">
        <v>404</v>
      </c>
      <c r="B99" s="14" t="s">
        <v>405</v>
      </c>
      <c r="C99" s="14" t="s">
        <v>22</v>
      </c>
      <c r="D99" s="14" t="s">
        <v>33</v>
      </c>
      <c r="E99" s="14" t="s">
        <v>99</v>
      </c>
      <c r="F99" s="14" t="s">
        <v>73</v>
      </c>
      <c r="G99" s="14" t="s">
        <v>36</v>
      </c>
      <c r="H99" s="14" t="s">
        <v>27</v>
      </c>
      <c r="I99" s="14" t="s">
        <v>329</v>
      </c>
      <c r="J99" s="14" t="s">
        <v>330</v>
      </c>
    </row>
    <row r="100" spans="1:10" ht="15" customHeight="1" x14ac:dyDescent="0.35">
      <c r="A100" s="13" t="s">
        <v>406</v>
      </c>
      <c r="B100" s="13" t="s">
        <v>407</v>
      </c>
      <c r="C100" s="13" t="s">
        <v>32</v>
      </c>
      <c r="D100" s="13" t="s">
        <v>23</v>
      </c>
      <c r="E100" s="13" t="s">
        <v>108</v>
      </c>
      <c r="F100" s="13" t="s">
        <v>109</v>
      </c>
      <c r="G100" s="13" t="s">
        <v>236</v>
      </c>
      <c r="H100" s="13" t="s">
        <v>37</v>
      </c>
      <c r="I100" s="13" t="s">
        <v>408</v>
      </c>
      <c r="J100" s="13" t="s">
        <v>409</v>
      </c>
    </row>
    <row r="101" spans="1:10" ht="15" customHeight="1" x14ac:dyDescent="0.35">
      <c r="A101" s="14" t="s">
        <v>410</v>
      </c>
      <c r="B101" s="14" t="s">
        <v>411</v>
      </c>
      <c r="C101" s="14" t="s">
        <v>42</v>
      </c>
      <c r="D101" s="14" t="s">
        <v>13</v>
      </c>
      <c r="E101" s="14" t="s">
        <v>63</v>
      </c>
      <c r="F101" s="14" t="s">
        <v>64</v>
      </c>
      <c r="G101" s="14" t="s">
        <v>339</v>
      </c>
      <c r="H101" s="14" t="s">
        <v>17</v>
      </c>
      <c r="I101" s="14" t="s">
        <v>412</v>
      </c>
      <c r="J101" s="14" t="s">
        <v>413</v>
      </c>
    </row>
    <row r="102" spans="1:10" ht="15" customHeight="1" x14ac:dyDescent="0.35">
      <c r="A102" s="13" t="s">
        <v>414</v>
      </c>
      <c r="B102" s="13" t="s">
        <v>415</v>
      </c>
      <c r="C102" s="13" t="s">
        <v>12</v>
      </c>
      <c r="D102" s="13" t="s">
        <v>33</v>
      </c>
      <c r="E102" s="13" t="s">
        <v>34</v>
      </c>
      <c r="F102" s="13" t="s">
        <v>35</v>
      </c>
      <c r="G102" s="13" t="s">
        <v>416</v>
      </c>
      <c r="H102" s="13" t="s">
        <v>37</v>
      </c>
      <c r="I102" s="13" t="s">
        <v>417</v>
      </c>
      <c r="J102" s="13" t="s">
        <v>418</v>
      </c>
    </row>
    <row r="103" spans="1:10" ht="15" customHeight="1" x14ac:dyDescent="0.35">
      <c r="A103" s="14" t="s">
        <v>419</v>
      </c>
      <c r="B103" s="14" t="s">
        <v>420</v>
      </c>
      <c r="C103" s="14" t="s">
        <v>22</v>
      </c>
      <c r="D103" s="14" t="s">
        <v>23</v>
      </c>
      <c r="E103" s="14" t="s">
        <v>50</v>
      </c>
      <c r="F103" s="14" t="s">
        <v>51</v>
      </c>
      <c r="G103" s="14" t="s">
        <v>421</v>
      </c>
      <c r="H103" s="14" t="s">
        <v>27</v>
      </c>
      <c r="I103" s="14" t="s">
        <v>422</v>
      </c>
      <c r="J103" s="14" t="s">
        <v>423</v>
      </c>
    </row>
    <row r="104" spans="1:10" ht="15" customHeight="1" x14ac:dyDescent="0.35">
      <c r="A104" s="13" t="s">
        <v>424</v>
      </c>
      <c r="B104" s="13" t="s">
        <v>425</v>
      </c>
      <c r="C104" s="13" t="s">
        <v>32</v>
      </c>
      <c r="D104" s="13" t="s">
        <v>13</v>
      </c>
      <c r="E104" s="13" t="s">
        <v>83</v>
      </c>
      <c r="F104" s="13" t="s">
        <v>84</v>
      </c>
      <c r="G104" s="13" t="s">
        <v>320</v>
      </c>
      <c r="H104" s="13" t="s">
        <v>37</v>
      </c>
      <c r="I104" s="13" t="s">
        <v>426</v>
      </c>
      <c r="J104" s="13" t="s">
        <v>427</v>
      </c>
    </row>
    <row r="105" spans="1:10" ht="15" customHeight="1" x14ac:dyDescent="0.35">
      <c r="A105" s="14" t="s">
        <v>428</v>
      </c>
      <c r="B105" s="14" t="s">
        <v>429</v>
      </c>
      <c r="C105" s="14" t="s">
        <v>42</v>
      </c>
      <c r="D105" s="14" t="s">
        <v>33</v>
      </c>
      <c r="E105" s="14" t="s">
        <v>57</v>
      </c>
      <c r="F105" s="14" t="s">
        <v>58</v>
      </c>
      <c r="G105" s="14" t="s">
        <v>114</v>
      </c>
      <c r="H105" s="14" t="s">
        <v>17</v>
      </c>
      <c r="I105" s="14" t="s">
        <v>351</v>
      </c>
      <c r="J105" s="14" t="s">
        <v>352</v>
      </c>
    </row>
    <row r="106" spans="1:10" ht="15" customHeight="1" x14ac:dyDescent="0.35">
      <c r="A106" s="13" t="s">
        <v>430</v>
      </c>
      <c r="B106" s="13" t="s">
        <v>431</v>
      </c>
      <c r="C106" s="13" t="s">
        <v>12</v>
      </c>
      <c r="D106" s="13" t="s">
        <v>23</v>
      </c>
      <c r="E106" s="13" t="s">
        <v>24</v>
      </c>
      <c r="F106" s="13" t="s">
        <v>25</v>
      </c>
      <c r="G106" s="13" t="s">
        <v>320</v>
      </c>
      <c r="H106" s="13" t="s">
        <v>17</v>
      </c>
      <c r="I106" s="13" t="s">
        <v>432</v>
      </c>
      <c r="J106" s="13" t="s">
        <v>433</v>
      </c>
    </row>
    <row r="107" spans="1:10" ht="15" customHeight="1" x14ac:dyDescent="0.35">
      <c r="A107" s="14" t="s">
        <v>434</v>
      </c>
      <c r="B107" s="14" t="s">
        <v>435</v>
      </c>
      <c r="C107" s="14" t="s">
        <v>22</v>
      </c>
      <c r="D107" s="14" t="s">
        <v>13</v>
      </c>
      <c r="E107" s="14" t="s">
        <v>14</v>
      </c>
      <c r="F107" s="14" t="s">
        <v>15</v>
      </c>
      <c r="G107" s="14" t="s">
        <v>36</v>
      </c>
      <c r="H107" s="14" t="s">
        <v>27</v>
      </c>
      <c r="I107" s="14" t="s">
        <v>436</v>
      </c>
      <c r="J107" s="14" t="s">
        <v>437</v>
      </c>
    </row>
    <row r="108" spans="1:10" ht="15" customHeight="1" x14ac:dyDescent="0.35">
      <c r="A108" s="13" t="s">
        <v>438</v>
      </c>
      <c r="B108" s="13" t="s">
        <v>439</v>
      </c>
      <c r="C108" s="13" t="s">
        <v>32</v>
      </c>
      <c r="D108" s="13" t="s">
        <v>33</v>
      </c>
      <c r="E108" s="13" t="s">
        <v>77</v>
      </c>
      <c r="F108" s="13" t="s">
        <v>78</v>
      </c>
      <c r="G108" s="13" t="s">
        <v>339</v>
      </c>
      <c r="H108" s="13" t="s">
        <v>37</v>
      </c>
      <c r="I108" s="13" t="s">
        <v>440</v>
      </c>
      <c r="J108" s="13" t="s">
        <v>441</v>
      </c>
    </row>
    <row r="109" spans="1:10" ht="15" customHeight="1" x14ac:dyDescent="0.35">
      <c r="A109" s="14" t="s">
        <v>442</v>
      </c>
      <c r="B109" s="14" t="s">
        <v>443</v>
      </c>
      <c r="C109" s="14" t="s">
        <v>42</v>
      </c>
      <c r="D109" s="14" t="s">
        <v>23</v>
      </c>
      <c r="E109" s="14" t="s">
        <v>70</v>
      </c>
      <c r="F109" s="14" t="s">
        <v>71</v>
      </c>
      <c r="G109" s="14" t="s">
        <v>214</v>
      </c>
      <c r="H109" s="14" t="s">
        <v>37</v>
      </c>
      <c r="I109" s="14" t="s">
        <v>173</v>
      </c>
      <c r="J109" s="14" t="s">
        <v>167</v>
      </c>
    </row>
    <row r="110" spans="1:10" ht="15" customHeight="1" x14ac:dyDescent="0.35">
      <c r="A110" s="13" t="s">
        <v>444</v>
      </c>
      <c r="B110" s="13" t="s">
        <v>445</v>
      </c>
      <c r="C110" s="13" t="s">
        <v>12</v>
      </c>
      <c r="D110" s="13" t="s">
        <v>13</v>
      </c>
      <c r="E110" s="13" t="s">
        <v>43</v>
      </c>
      <c r="F110" s="13" t="s">
        <v>44</v>
      </c>
      <c r="G110" s="13" t="s">
        <v>253</v>
      </c>
      <c r="H110" s="13" t="s">
        <v>17</v>
      </c>
      <c r="I110" s="13" t="s">
        <v>446</v>
      </c>
      <c r="J110" s="13" t="s">
        <v>447</v>
      </c>
    </row>
    <row r="111" spans="1:10" ht="15" customHeight="1" x14ac:dyDescent="0.35">
      <c r="A111" s="14" t="s">
        <v>448</v>
      </c>
      <c r="B111" s="14" t="s">
        <v>449</v>
      </c>
      <c r="C111" s="14" t="s">
        <v>22</v>
      </c>
      <c r="D111" s="14" t="s">
        <v>33</v>
      </c>
      <c r="E111" s="14" t="s">
        <v>99</v>
      </c>
      <c r="F111" s="14" t="s">
        <v>73</v>
      </c>
      <c r="G111" s="14" t="s">
        <v>114</v>
      </c>
      <c r="H111" s="14" t="s">
        <v>27</v>
      </c>
      <c r="I111" s="14" t="s">
        <v>362</v>
      </c>
      <c r="J111" s="14" t="s">
        <v>363</v>
      </c>
    </row>
    <row r="112" spans="1:10" ht="15" customHeight="1" x14ac:dyDescent="0.35">
      <c r="A112" s="13" t="s">
        <v>450</v>
      </c>
      <c r="B112" s="13" t="s">
        <v>451</v>
      </c>
      <c r="C112" s="13" t="s">
        <v>32</v>
      </c>
      <c r="D112" s="13" t="s">
        <v>23</v>
      </c>
      <c r="E112" s="13" t="s">
        <v>108</v>
      </c>
      <c r="F112" s="13" t="s">
        <v>109</v>
      </c>
      <c r="G112" s="13" t="s">
        <v>355</v>
      </c>
      <c r="H112" s="13" t="s">
        <v>37</v>
      </c>
      <c r="I112" s="13" t="s">
        <v>189</v>
      </c>
      <c r="J112" s="13" t="s">
        <v>78</v>
      </c>
    </row>
    <row r="113" spans="1:10" ht="15" customHeight="1" x14ac:dyDescent="0.35">
      <c r="A113" s="14" t="s">
        <v>452</v>
      </c>
      <c r="B113" s="14" t="s">
        <v>453</v>
      </c>
      <c r="C113" s="14" t="s">
        <v>42</v>
      </c>
      <c r="D113" s="14" t="s">
        <v>13</v>
      </c>
      <c r="E113" s="14" t="s">
        <v>63</v>
      </c>
      <c r="F113" s="14" t="s">
        <v>64</v>
      </c>
      <c r="G113" s="14" t="s">
        <v>90</v>
      </c>
      <c r="H113" s="14" t="s">
        <v>17</v>
      </c>
      <c r="I113" s="14" t="s">
        <v>454</v>
      </c>
      <c r="J113" s="14" t="s">
        <v>225</v>
      </c>
    </row>
    <row r="114" spans="1:10" ht="15" customHeight="1" x14ac:dyDescent="0.35">
      <c r="A114" s="13" t="s">
        <v>455</v>
      </c>
      <c r="B114" s="13" t="s">
        <v>456</v>
      </c>
      <c r="C114" s="13" t="s">
        <v>12</v>
      </c>
      <c r="D114" s="13" t="s">
        <v>33</v>
      </c>
      <c r="E114" s="13" t="s">
        <v>34</v>
      </c>
      <c r="F114" s="13" t="s">
        <v>35</v>
      </c>
      <c r="G114" s="13" t="s">
        <v>134</v>
      </c>
      <c r="H114" s="13" t="s">
        <v>37</v>
      </c>
      <c r="I114" s="13" t="s">
        <v>457</v>
      </c>
      <c r="J114" s="13" t="s">
        <v>458</v>
      </c>
    </row>
    <row r="115" spans="1:10" ht="15" customHeight="1" x14ac:dyDescent="0.35">
      <c r="A115" s="14" t="s">
        <v>459</v>
      </c>
      <c r="B115" s="14" t="s">
        <v>460</v>
      </c>
      <c r="C115" s="14" t="s">
        <v>22</v>
      </c>
      <c r="D115" s="14" t="s">
        <v>23</v>
      </c>
      <c r="E115" s="14" t="s">
        <v>50</v>
      </c>
      <c r="F115" s="14" t="s">
        <v>51</v>
      </c>
      <c r="G115" s="14" t="s">
        <v>461</v>
      </c>
      <c r="H115" s="14" t="s">
        <v>27</v>
      </c>
      <c r="I115" s="14" t="s">
        <v>462</v>
      </c>
      <c r="J115" s="14" t="s">
        <v>463</v>
      </c>
    </row>
    <row r="116" spans="1:10" ht="15" customHeight="1" x14ac:dyDescent="0.35">
      <c r="A116" s="13" t="s">
        <v>464</v>
      </c>
      <c r="B116" s="13" t="s">
        <v>465</v>
      </c>
      <c r="C116" s="13" t="s">
        <v>32</v>
      </c>
      <c r="D116" s="13" t="s">
        <v>13</v>
      </c>
      <c r="E116" s="13" t="s">
        <v>83</v>
      </c>
      <c r="F116" s="13" t="s">
        <v>84</v>
      </c>
      <c r="G116" s="13" t="s">
        <v>170</v>
      </c>
      <c r="H116" s="13" t="s">
        <v>37</v>
      </c>
      <c r="I116" s="13" t="s">
        <v>466</v>
      </c>
      <c r="J116" s="13" t="s">
        <v>467</v>
      </c>
    </row>
    <row r="117" spans="1:10" ht="15" customHeight="1" x14ac:dyDescent="0.35">
      <c r="A117" s="14" t="s">
        <v>468</v>
      </c>
      <c r="B117" s="14" t="s">
        <v>469</v>
      </c>
      <c r="C117" s="14" t="s">
        <v>42</v>
      </c>
      <c r="D117" s="14" t="s">
        <v>33</v>
      </c>
      <c r="E117" s="14" t="s">
        <v>57</v>
      </c>
      <c r="F117" s="14" t="s">
        <v>58</v>
      </c>
      <c r="G117" s="14" t="s">
        <v>165</v>
      </c>
      <c r="H117" s="14" t="s">
        <v>17</v>
      </c>
      <c r="I117" s="14" t="s">
        <v>470</v>
      </c>
      <c r="J117" s="14" t="s">
        <v>471</v>
      </c>
    </row>
    <row r="118" spans="1:10" ht="15" customHeight="1" x14ac:dyDescent="0.35">
      <c r="A118" s="13" t="s">
        <v>472</v>
      </c>
      <c r="B118" s="13" t="s">
        <v>473</v>
      </c>
      <c r="C118" s="13" t="s">
        <v>12</v>
      </c>
      <c r="D118" s="13" t="s">
        <v>23</v>
      </c>
      <c r="E118" s="13" t="s">
        <v>24</v>
      </c>
      <c r="F118" s="13" t="s">
        <v>25</v>
      </c>
      <c r="G118" s="13" t="s">
        <v>170</v>
      </c>
      <c r="H118" s="13" t="s">
        <v>17</v>
      </c>
      <c r="I118" s="13" t="s">
        <v>474</v>
      </c>
      <c r="J118" s="13" t="s">
        <v>67</v>
      </c>
    </row>
    <row r="119" spans="1:10" ht="15" customHeight="1" x14ac:dyDescent="0.35">
      <c r="A119" s="14" t="s">
        <v>475</v>
      </c>
      <c r="B119" s="14" t="s">
        <v>476</v>
      </c>
      <c r="C119" s="14" t="s">
        <v>22</v>
      </c>
      <c r="D119" s="14" t="s">
        <v>13</v>
      </c>
      <c r="E119" s="14" t="s">
        <v>14</v>
      </c>
      <c r="F119" s="14" t="s">
        <v>15</v>
      </c>
      <c r="G119" s="14" t="s">
        <v>114</v>
      </c>
      <c r="H119" s="14" t="s">
        <v>27</v>
      </c>
      <c r="I119" s="14" t="s">
        <v>477</v>
      </c>
      <c r="J119" s="14" t="s">
        <v>478</v>
      </c>
    </row>
    <row r="120" spans="1:10" ht="15" customHeight="1" x14ac:dyDescent="0.35">
      <c r="A120" s="13" t="s">
        <v>479</v>
      </c>
      <c r="B120" s="13" t="s">
        <v>480</v>
      </c>
      <c r="C120" s="13" t="s">
        <v>32</v>
      </c>
      <c r="D120" s="13" t="s">
        <v>33</v>
      </c>
      <c r="E120" s="13" t="s">
        <v>77</v>
      </c>
      <c r="F120" s="13" t="s">
        <v>78</v>
      </c>
      <c r="G120" s="13" t="s">
        <v>90</v>
      </c>
      <c r="H120" s="13" t="s">
        <v>37</v>
      </c>
      <c r="I120" s="13" t="s">
        <v>481</v>
      </c>
      <c r="J120" s="13" t="s">
        <v>148</v>
      </c>
    </row>
    <row r="121" spans="1:10" ht="15" customHeight="1" x14ac:dyDescent="0.35">
      <c r="A121" s="14" t="s">
        <v>482</v>
      </c>
      <c r="B121" s="14" t="s">
        <v>483</v>
      </c>
      <c r="C121" s="14" t="s">
        <v>42</v>
      </c>
      <c r="D121" s="14" t="s">
        <v>23</v>
      </c>
      <c r="E121" s="14" t="s">
        <v>70</v>
      </c>
      <c r="F121" s="14" t="s">
        <v>71</v>
      </c>
      <c r="G121" s="14" t="s">
        <v>484</v>
      </c>
      <c r="H121" s="14" t="s">
        <v>37</v>
      </c>
      <c r="I121" s="14" t="s">
        <v>115</v>
      </c>
      <c r="J121" s="14" t="s">
        <v>485</v>
      </c>
    </row>
  </sheetData>
  <autoFilter ref="A1:J12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Normal="100" workbookViewId="0">
      <selection sqref="A1:M1"/>
    </sheetView>
  </sheetViews>
  <sheetFormatPr defaultColWidth="8.6328125" defaultRowHeight="14.5" x14ac:dyDescent="0.35"/>
  <cols>
    <col min="1" max="12" width="14" customWidth="1"/>
  </cols>
  <sheetData>
    <row r="1" spans="1:13" ht="21.75" customHeight="1" x14ac:dyDescent="0.35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15" customHeight="1" x14ac:dyDescent="0.35">
      <c r="A3" s="15" t="s">
        <v>2</v>
      </c>
      <c r="B3" s="15" t="s">
        <v>8</v>
      </c>
      <c r="C3" s="15" t="s">
        <v>9</v>
      </c>
      <c r="E3" s="15" t="s">
        <v>3</v>
      </c>
      <c r="F3" s="15" t="s">
        <v>8</v>
      </c>
      <c r="H3" s="15" t="s">
        <v>487</v>
      </c>
      <c r="I3" s="15" t="s">
        <v>8</v>
      </c>
      <c r="K3" s="15" t="s">
        <v>4</v>
      </c>
      <c r="L3" s="15" t="s">
        <v>8</v>
      </c>
    </row>
    <row r="4" spans="1:13" ht="15" customHeight="1" x14ac:dyDescent="0.35">
      <c r="A4" s="16" t="s">
        <v>12</v>
      </c>
      <c r="B4" s="16">
        <v>1851785</v>
      </c>
      <c r="C4" s="16">
        <v>283687</v>
      </c>
      <c r="E4" s="16" t="s">
        <v>13</v>
      </c>
      <c r="F4" s="16">
        <v>2468500</v>
      </c>
      <c r="H4" s="16" t="s">
        <v>488</v>
      </c>
      <c r="I4" s="16">
        <v>397200</v>
      </c>
      <c r="K4" s="16" t="s">
        <v>14</v>
      </c>
      <c r="L4" s="16">
        <v>1495500</v>
      </c>
    </row>
    <row r="5" spans="1:13" ht="15" customHeight="1" x14ac:dyDescent="0.35">
      <c r="A5" s="16" t="s">
        <v>32</v>
      </c>
      <c r="B5" s="16">
        <v>1960300</v>
      </c>
      <c r="C5" s="16">
        <v>301245</v>
      </c>
      <c r="E5" s="16" t="s">
        <v>23</v>
      </c>
      <c r="F5" s="16">
        <v>1892340</v>
      </c>
      <c r="H5" s="16" t="s">
        <v>489</v>
      </c>
      <c r="I5" s="16">
        <v>420300</v>
      </c>
      <c r="K5" s="16" t="s">
        <v>43</v>
      </c>
      <c r="L5" s="16">
        <v>1063125</v>
      </c>
    </row>
    <row r="6" spans="1:13" ht="15" customHeight="1" x14ac:dyDescent="0.35">
      <c r="A6" s="16" t="s">
        <v>42</v>
      </c>
      <c r="B6" s="16">
        <v>1823450</v>
      </c>
      <c r="C6" s="16">
        <v>273517</v>
      </c>
      <c r="E6" s="16" t="s">
        <v>33</v>
      </c>
      <c r="F6" s="16">
        <v>1273320</v>
      </c>
      <c r="H6" s="16" t="s">
        <v>490</v>
      </c>
      <c r="I6" s="16">
        <v>488300</v>
      </c>
      <c r="K6" s="16" t="s">
        <v>63</v>
      </c>
      <c r="L6" s="16">
        <v>870000</v>
      </c>
    </row>
    <row r="7" spans="1:13" ht="15" customHeight="1" x14ac:dyDescent="0.35">
      <c r="A7" s="16" t="s">
        <v>22</v>
      </c>
      <c r="B7" s="16">
        <v>1998625</v>
      </c>
      <c r="C7" s="16">
        <v>305289</v>
      </c>
      <c r="H7" s="16" t="s">
        <v>491</v>
      </c>
      <c r="I7" s="16">
        <v>521150</v>
      </c>
      <c r="K7" s="16" t="s">
        <v>57</v>
      </c>
      <c r="L7" s="16">
        <v>728300</v>
      </c>
    </row>
    <row r="8" spans="1:13" ht="15" customHeight="1" x14ac:dyDescent="0.35">
      <c r="H8" s="16" t="s">
        <v>492</v>
      </c>
      <c r="I8" s="16">
        <v>535450</v>
      </c>
      <c r="K8" s="16" t="s">
        <v>77</v>
      </c>
      <c r="L8" s="16">
        <v>648000</v>
      </c>
    </row>
    <row r="9" spans="1:13" ht="15" customHeight="1" x14ac:dyDescent="0.35">
      <c r="H9" s="16" t="s">
        <v>493</v>
      </c>
      <c r="I9" s="16">
        <v>588950</v>
      </c>
      <c r="K9" s="16" t="s">
        <v>83</v>
      </c>
      <c r="L9" s="16">
        <v>522500</v>
      </c>
    </row>
    <row r="10" spans="1:13" ht="15" customHeight="1" x14ac:dyDescent="0.35">
      <c r="H10" s="16" t="s">
        <v>494</v>
      </c>
      <c r="I10" s="16">
        <v>611100</v>
      </c>
    </row>
    <row r="11" spans="1:13" ht="15" customHeight="1" x14ac:dyDescent="0.35">
      <c r="H11" s="16" t="s">
        <v>495</v>
      </c>
      <c r="I11" s="16">
        <v>655475</v>
      </c>
    </row>
    <row r="12" spans="1:13" ht="15" customHeight="1" x14ac:dyDescent="0.35">
      <c r="H12" s="16" t="s">
        <v>496</v>
      </c>
      <c r="I12" s="16">
        <v>623200</v>
      </c>
    </row>
    <row r="13" spans="1:13" ht="15" customHeight="1" x14ac:dyDescent="0.35">
      <c r="H13" s="16" t="s">
        <v>497</v>
      </c>
      <c r="I13" s="16">
        <v>672285</v>
      </c>
    </row>
    <row r="14" spans="1:13" ht="15" customHeight="1" x14ac:dyDescent="0.35">
      <c r="H14" s="16" t="s">
        <v>498</v>
      </c>
      <c r="I14" s="16">
        <v>714900</v>
      </c>
    </row>
    <row r="15" spans="1:13" ht="15" customHeight="1" x14ac:dyDescent="0.35">
      <c r="H15" s="16" t="s">
        <v>499</v>
      </c>
      <c r="I15" s="16">
        <v>756050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showGridLines="0" tabSelected="1" zoomScale="83" zoomScaleNormal="100" workbookViewId="0">
      <selection activeCell="S15" sqref="S15"/>
    </sheetView>
  </sheetViews>
  <sheetFormatPr defaultColWidth="8.6328125" defaultRowHeight="14.5" x14ac:dyDescent="0.35"/>
  <cols>
    <col min="1" max="18" width="9" customWidth="1"/>
  </cols>
  <sheetData>
    <row r="1" spans="1:18" ht="19.5" customHeight="1" x14ac:dyDescent="0.35">
      <c r="A1" s="11" t="s">
        <v>500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9.5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5.75" customHeight="1" x14ac:dyDescent="0.35">
      <c r="A3" s="10" t="s">
        <v>501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7.5" customHeight="1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21.75" customHeight="1" x14ac:dyDescent="0.35">
      <c r="A5" s="9" t="s">
        <v>502</v>
      </c>
      <c r="B5" s="9"/>
      <c r="E5" s="8" t="s">
        <v>503</v>
      </c>
      <c r="F5" s="8"/>
      <c r="I5" s="7" t="s">
        <v>504</v>
      </c>
      <c r="J5" s="7"/>
      <c r="M5" s="6" t="s">
        <v>505</v>
      </c>
      <c r="N5" s="6"/>
    </row>
    <row r="6" spans="1:18" ht="21.75" customHeight="1" x14ac:dyDescent="0.35">
      <c r="A6" s="5">
        <f>SUM(Sales_Data!I2:I121)</f>
        <v>0</v>
      </c>
      <c r="B6" s="5"/>
      <c r="E6" s="4">
        <f>SUM(Sales_Data!J2:J121)</f>
        <v>0</v>
      </c>
      <c r="F6" s="4"/>
      <c r="I6" s="3">
        <f>COUNTA(Sales_Data!A2:A121)</f>
        <v>120</v>
      </c>
      <c r="J6" s="3"/>
      <c r="M6" s="2" t="str">
        <f>IFERROR(ROUND(SUM(Sales_Data!J2:J121)/SUM(Sales_Data!I2:I121)*100,2)&amp;"%","N/A")</f>
        <v>N/A</v>
      </c>
      <c r="N6" s="2"/>
    </row>
    <row r="7" spans="1:18" ht="21.75" customHeight="1" x14ac:dyDescent="0.35"/>
    <row r="8" spans="1:18" ht="7.5" customHeight="1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15.75" customHeight="1" x14ac:dyDescent="0.35"/>
    <row r="10" spans="1:18" ht="15.75" customHeight="1" x14ac:dyDescent="0.35"/>
    <row r="11" spans="1:18" ht="15.75" customHeight="1" x14ac:dyDescent="0.35"/>
    <row r="12" spans="1:18" ht="15.75" customHeight="1" x14ac:dyDescent="0.35"/>
    <row r="13" spans="1:18" ht="15.75" customHeight="1" x14ac:dyDescent="0.35"/>
    <row r="14" spans="1:18" ht="15.75" customHeight="1" x14ac:dyDescent="0.35"/>
    <row r="15" spans="1:18" ht="15.75" customHeight="1" x14ac:dyDescent="0.35"/>
    <row r="16" spans="1:1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</sheetData>
  <mergeCells count="10">
    <mergeCell ref="A6:B6"/>
    <mergeCell ref="E6:F6"/>
    <mergeCell ref="I6:J6"/>
    <mergeCell ref="M6:N6"/>
    <mergeCell ref="A1:R2"/>
    <mergeCell ref="A3:R3"/>
    <mergeCell ref="A5:B5"/>
    <mergeCell ref="E5:F5"/>
    <mergeCell ref="I5:J5"/>
    <mergeCell ref="M5:N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Summary_Data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Ajay Kumar Reddy</cp:lastModifiedBy>
  <cp:revision>2</cp:revision>
  <dcterms:created xsi:type="dcterms:W3CDTF">2026-05-12T08:10:41Z</dcterms:created>
  <dcterms:modified xsi:type="dcterms:W3CDTF">2026-05-12T09:26:13Z</dcterms:modified>
  <dc:language>en-US</dc:language>
</cp:coreProperties>
</file>